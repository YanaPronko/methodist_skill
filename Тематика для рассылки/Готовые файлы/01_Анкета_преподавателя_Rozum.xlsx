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ыбор тем" sheetId="1" state="visible" r:id="rId1"/>
    <sheet xmlns:r="http://schemas.openxmlformats.org/officeDocument/2006/relationships" name="Содержание тем" sheetId="2" state="visible" r:id="rId2"/>
    <sheet xmlns:r="http://schemas.openxmlformats.org/officeDocument/2006/relationships" name="Инструкция" sheetId="3" state="visible" r:id="rId3"/>
  </sheets>
  <definedNames>
    <definedName name="LecturerName">'Выбор тем'!$B$4</definedName>
    <definedName name="ResponseDate">'Выбор тем'!$F$4</definedName>
    <definedName name="SurveyVersion">'Выбор тем'!$F$5</definedName>
    <definedName name="CompletionState">'Выбор тем'!$B$5</definedName>
    <definedName name="_xlnm.Print_Titles" localSheetId="0">'Выбор тем'!$1:$9</definedName>
    <definedName name="_xlnm.Print_Area" localSheetId="0">'Выбор тем'!$A$1:$F$277</definedName>
    <definedName name="_xlnm.Print_Titles" localSheetId="1">'Содержание тем'!$1:$3</definedName>
    <definedName name="_xlnm.Print_Area" localSheetId="1">'Содержание тем'!$A$1:$G$3463</definedName>
    <definedName name="_xlnm.Print_Area" localSheetId="2">'Инструкция'!$A$1:$G$24</definedName>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221F1F"/>
      <sz val="20"/>
    </font>
    <font>
      <name val="Calibri"/>
      <color rgb="00221F1F"/>
      <sz val="11"/>
    </font>
    <font>
      <name val="Calibri"/>
      <b val="1"/>
      <color rgb="00221F1F"/>
      <sz val="11"/>
    </font>
    <font>
      <name val="Calibri"/>
      <b val="1"/>
      <color rgb="00008685"/>
      <sz val="11"/>
      <u val="single"/>
    </font>
    <font>
      <name val="Calibri"/>
      <b val="1"/>
      <color rgb="00FFFFFF"/>
      <sz val="11"/>
    </font>
    <font>
      <name val="Calibri"/>
      <b val="1"/>
      <color rgb="00FFFFFF"/>
      <sz val="13"/>
    </font>
    <font>
      <name val="Calibri"/>
      <color rgb="00008685"/>
      <sz val="11"/>
      <u val="single"/>
    </font>
  </fonts>
  <fills count="10">
    <fill>
      <patternFill/>
    </fill>
    <fill>
      <patternFill patternType="gray125"/>
    </fill>
    <fill>
      <patternFill patternType="solid">
        <fgColor rgb="00FFFFFF"/>
      </patternFill>
    </fill>
    <fill>
      <patternFill patternType="solid">
        <fgColor rgb="0026BBA8"/>
      </patternFill>
    </fill>
    <fill>
      <patternFill patternType="solid">
        <fgColor rgb="0040B870"/>
      </patternFill>
    </fill>
    <fill>
      <patternFill patternType="solid">
        <fgColor rgb="00F0F8F4"/>
      </patternFill>
    </fill>
    <fill>
      <patternFill patternType="solid">
        <fgColor rgb="00E5F5EF"/>
      </patternFill>
    </fill>
    <fill>
      <patternFill patternType="solid">
        <fgColor rgb="00221F1F"/>
      </patternFill>
    </fill>
    <fill>
      <patternFill patternType="solid">
        <fgColor rgb="00008685"/>
      </patternFill>
    </fill>
    <fill>
      <patternFill patternType="solid">
        <fgColor rgb="00F2F5F3"/>
      </patternFill>
    </fill>
  </fills>
  <borders count="2">
    <border>
      <left/>
      <right/>
      <top/>
      <bottom/>
      <diagonal/>
    </border>
    <border>
      <bottom style="thin">
        <color rgb="0040B870"/>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wrapText="1" indent="1"/>
    </xf>
    <xf numFmtId="0" fontId="0" fillId="2" borderId="0" pivotButton="0" quotePrefix="0" xfId="0"/>
    <xf numFmtId="0" fontId="2" fillId="5" borderId="0" applyAlignment="1" pivotButton="0" quotePrefix="0" xfId="0">
      <alignment vertical="center" wrapText="1" indent="1"/>
    </xf>
    <xf numFmtId="0" fontId="0" fillId="5" borderId="0" pivotButton="0" quotePrefix="0" xfId="0"/>
    <xf numFmtId="0" fontId="3" fillId="0" borderId="0" applyAlignment="1" pivotButton="0" quotePrefix="0" xfId="0">
      <alignment vertical="center" wrapText="1"/>
    </xf>
    <xf numFmtId="0" fontId="2" fillId="6" borderId="1" applyAlignment="1" pivotButton="0" quotePrefix="0" xfId="0">
      <alignment vertical="center" wrapText="1"/>
    </xf>
    <xf numFmtId="164" fontId="2" fillId="6" borderId="1" applyAlignment="1" pivotButton="0" quotePrefix="0" xfId="0">
      <alignment vertical="center" wrapText="1"/>
    </xf>
    <xf numFmtId="0" fontId="2" fillId="6" borderId="0" applyAlignment="1" pivotButton="0" quotePrefix="0" xfId="0">
      <alignment vertical="center" wrapText="1" indent="1"/>
    </xf>
    <xf numFmtId="0" fontId="0" fillId="6" borderId="0" pivotButton="0" quotePrefix="0" xfId="0"/>
    <xf numFmtId="0" fontId="4" fillId="0" borderId="0" applyAlignment="1" pivotButton="0" quotePrefix="0" xfId="0">
      <alignment vertical="center" wrapText="1"/>
    </xf>
    <xf numFmtId="0" fontId="0" fillId="3" borderId="0" pivotButton="0" quotePrefix="0" xfId="0"/>
    <xf numFmtId="0" fontId="0" fillId="4" borderId="0" pivotButton="0" quotePrefix="0" xfId="0"/>
    <xf numFmtId="0" fontId="5" fillId="7" borderId="0" applyAlignment="1" pivotButton="0" quotePrefix="0" xfId="0">
      <alignment vertical="center" wrapText="1"/>
    </xf>
    <xf numFmtId="0" fontId="2" fillId="5" borderId="0" applyAlignment="1" pivotButton="0" quotePrefix="0" xfId="0">
      <alignment vertical="top" wrapText="1"/>
    </xf>
    <xf numFmtId="0" fontId="4" fillId="5" borderId="0" applyAlignment="1" pivotButton="0" quotePrefix="0" xfId="0">
      <alignment vertical="center" wrapText="1"/>
    </xf>
    <xf numFmtId="0" fontId="2" fillId="2" borderId="0" applyAlignment="1" pivotButton="0" quotePrefix="0" xfId="0">
      <alignment vertical="top" wrapText="1"/>
    </xf>
    <xf numFmtId="0" fontId="4" fillId="2" borderId="0" applyAlignment="1" pivotButton="0" quotePrefix="0" xfId="0">
      <alignment vertical="center" wrapText="1"/>
    </xf>
    <xf numFmtId="0" fontId="6" fillId="8" borderId="0" applyAlignment="1" pivotButton="0" quotePrefix="0" xfId="0">
      <alignment vertical="center" wrapText="1" indent="1"/>
    </xf>
    <xf numFmtId="0" fontId="0" fillId="8" borderId="0" pivotButton="0" quotePrefix="0" xfId="0"/>
    <xf numFmtId="0" fontId="5" fillId="7" borderId="0" applyAlignment="1" pivotButton="0" quotePrefix="0" xfId="0">
      <alignment vertical="center" wrapText="1" indent="1"/>
    </xf>
    <xf numFmtId="0" fontId="0" fillId="7" borderId="0" pivotButton="0" quotePrefix="0" xfId="0"/>
    <xf numFmtId="0" fontId="2" fillId="2" borderId="0" applyAlignment="1" pivotButton="0" quotePrefix="0" xfId="0">
      <alignment vertical="center" wrapText="1" indent="1"/>
    </xf>
    <xf numFmtId="0" fontId="7" fillId="0" borderId="0" applyAlignment="1" pivotButton="0" quotePrefix="0" xfId="0">
      <alignment vertical="center" wrapText="1"/>
    </xf>
    <xf numFmtId="0" fontId="4" fillId="0" borderId="0" pivotButton="0" quotePrefix="0" xfId="0"/>
    <xf numFmtId="0" fontId="2" fillId="9" borderId="0" applyAlignment="1" pivotButton="0" quotePrefix="0" xfId="0">
      <alignment vertical="center" wrapText="1" indent="1"/>
    </xf>
    <xf numFmtId="0" fontId="0" fillId="9" borderId="0" pivotButton="0" quotePrefix="0" xfId="0"/>
    <xf numFmtId="0" fontId="5" fillId="8" borderId="0" applyAlignment="1" pivotButton="0" quotePrefix="0" xfId="0">
      <alignment vertical="center" wrapText="1" indent="1"/>
    </xf>
  </cellXfs>
  <cellStyles count="1">
    <cellStyle name="Normal" xfId="0" builtinId="0" hidden="0"/>
  </cellStyles>
  <dxfs count="6">
    <dxf>
      <font>
        <name val="Calibri"/>
        <color rgb="00221F1F"/>
        <sz val="11"/>
      </font>
      <fill>
        <patternFill patternType="solid">
          <fgColor rgb="00FFFFFF"/>
        </patternFill>
      </fill>
    </dxf>
    <dxf>
      <font>
        <name val="Calibri"/>
        <b val="1"/>
        <color rgb="00FFFFFF"/>
        <sz val="11"/>
      </font>
      <fill>
        <patternFill patternType="solid">
          <fgColor rgb="00221F1F"/>
        </patternFill>
      </fill>
      <border>
        <bottom style="medium">
          <color rgb="0026BBA8"/>
        </bottom>
      </border>
    </dxf>
    <dxf>
      <fill>
        <patternFill patternType="solid">
          <fgColor rgb="00FFFFFF"/>
        </patternFill>
      </fill>
    </dxf>
    <dxf>
      <fill>
        <patternFill patternType="solid">
          <fgColor rgb="00F0F8F4"/>
        </patternFill>
      </fill>
    </dxf>
    <dxf>
      <fill>
        <patternFill patternType="solid">
          <fgColor rgb="00DDF2E5"/>
        </patternFill>
      </fill>
    </dxf>
    <dxf>
      <fill>
        <patternFill patternType="solid">
          <fgColor rgb="00C9EBDF"/>
        </patternFill>
      </fill>
    </dxf>
  </dxfs>
  <tableStyles count="1" defaultTableStyle="RozumTable" defaultPivotStyle="PivotStyleLight16">
    <tableStyle name="RozumTable" pivot="0" table="1">
      <tableStyleElement type="wholeTable" dxfId="0"/>
      <tableStyleElement type="headerRow" dxfId="1"/>
      <tableStyleElement type="firstRowStripe" size="1" dxfId="2"/>
      <tableStyleElement type="secondRowStripe" size="1"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5</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57150</colOff>
      <row>0</row>
      <rowOff>142875</rowOff>
    </from>
    <ext cx="1619250" cy="333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SurveyTopics" displayName="SurveyTopics" ref="A9:F275" headerRowCount="1">
  <autoFilter ref="A9:F275"/>
  <tableColumns count="6">
    <tableColumn id="1" name="Код темы"/>
    <tableColumn id="2" name="Тема"/>
    <tableColumn id="3" name="В каких программах"/>
    <tableColumn id="4" name="Содержание"/>
    <tableColumn id="5" name="Могу читать"/>
    <tableColumn id="6" name="Комментарий преподавателя"/>
  </tableColumns>
  <tableStyleInfo name="RozumTable" showRowStripes="0"/>
</table>
</file>

<file path=xl/theme/theme1.xml><?xml version="1.0" encoding="utf-8"?>
<ns0:theme xmlns:ns0="http://schemas.openxmlformats.org/drawingml/2006/main" name="Rozum">
  <ns0:themeElements>
    <ns0:clrScheme name="Rozum">
      <ns0:dk1>
        <ns0:srgbClr val="221F1F"/>
      </ns0:dk1>
      <ns0:lt1>
        <ns0:srgbClr val="FFFFFF"/>
      </ns0:lt1>
      <ns0:dk2>
        <ns0:srgbClr val="221F1F"/>
      </ns0:dk2>
      <ns0:lt2>
        <ns0:srgbClr val="F0F8F4"/>
      </ns0:lt2>
      <ns0:accent1>
        <ns0:srgbClr val="26BBA8"/>
      </ns0:accent1>
      <ns0:accent2>
        <ns0:srgbClr val="40B870"/>
      </ns0:accent2>
      <ns0:accent3>
        <ns0:srgbClr val="008685"/>
      </ns0:accent3>
      <ns0:accent4>
        <ns0:srgbClr val="009763"/>
      </ns0:accent4>
      <ns0:accent5>
        <ns0:srgbClr val="60756C"/>
      </ns0:accent5>
      <ns0:accent6>
        <ns0:srgbClr val="DDF2E5"/>
      </ns0:accent6>
      <ns0:hlink>
        <ns0:srgbClr val="008685"/>
      </ns0:hlink>
      <ns0:folHlink>
        <ns0:srgbClr val="009763"/>
      </ns0:folHlink>
    </ns0:clrScheme>
    <ns0:fontScheme name="Office">
      <ns0:majorFont>
        <ns0:latin typeface="Cambria"/>
        <ns0:ea typeface=""/>
        <ns0:cs typeface=""/>
        <ns0:font script="Jpan" typeface="ＭＳ Ｐゴシック"/>
        <ns0:font script="Hang" typeface="맑은 고딕"/>
        <ns0:font script="Hans" typeface="宋体"/>
        <ns0:font script="Hant" typeface="新細明體"/>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宋体"/>
        <ns0:font script="Hant" typeface="新細明體"/>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s://drive.google.com/file/d/1gsebImDr2Ug4Mc223JWP4mrptSx4s4zz/view" TargetMode="External" Id="rId1"/><Relationship Type="http://schemas.openxmlformats.org/officeDocument/2006/relationships/hyperlink" Target="https://drive.google.com/file/d/16J-rRtwXGZgi-JDW1D5MhnyOCWAcCoYn/view" TargetMode="External" Id="rId2"/><Relationship Type="http://schemas.openxmlformats.org/officeDocument/2006/relationships/hyperlink" Target="https://drive.google.com/file/d/1STsUChg_qVkiFrDhwKQSVbz1HLfKjkEs/view" TargetMode="External" Id="rId3"/><Relationship Type="http://schemas.openxmlformats.org/officeDocument/2006/relationships/hyperlink" Target="https://drive.google.com/file/d/1tLxI-vHJLofJTgl4nBE_uDVfj6WROkZA/view" TargetMode="External" Id="rId4"/><Relationship Type="http://schemas.openxmlformats.org/officeDocument/2006/relationships/hyperlink" Target="https://drive.google.com/file/d/1o_q6W3Kdbfaq__fOEJSu5wRSXAckrE7e/view" TargetMode="External" Id="rId5"/><Relationship Type="http://schemas.openxmlformats.org/officeDocument/2006/relationships/hyperlink" Target="https://drive.google.com/file/d/1gez4kBsIKTOeBbWS4ixlqF-3b5kXr-QU/view" TargetMode="External" Id="rId6"/><Relationship Type="http://schemas.openxmlformats.org/officeDocument/2006/relationships/hyperlink" Target="https://drive.google.com/file/d/1F46I_YMldcB4SLuaKAHMSGNcTp9WKQVA/view" TargetMode="External" Id="rId7"/><Relationship Type="http://schemas.openxmlformats.org/officeDocument/2006/relationships/hyperlink" Target="https://drive.google.com/file/d/1C2ciK31scWRWiRuyNMpBUZldNwuOCtgs/view" TargetMode="External" Id="rId8"/><Relationship Type="http://schemas.openxmlformats.org/officeDocument/2006/relationships/hyperlink" Target="https://drive.google.com/file/d/1gsebImDr2Ug4Mc223JWP4mrptSx4s4zz/view" TargetMode="External" Id="rId9"/><Relationship Type="http://schemas.openxmlformats.org/officeDocument/2006/relationships/hyperlink" Target="https://drive.google.com/file/d/16J-rRtwXGZgi-JDW1D5MhnyOCWAcCoYn/view" TargetMode="External" Id="rId10"/><Relationship Type="http://schemas.openxmlformats.org/officeDocument/2006/relationships/hyperlink" Target="https://drive.google.com/file/d/1gsebImDr2Ug4Mc223JWP4mrptSx4s4zz/view" TargetMode="External" Id="rId11"/><Relationship Type="http://schemas.openxmlformats.org/officeDocument/2006/relationships/hyperlink" Target="https://drive.google.com/file/d/16J-rRtwXGZgi-JDW1D5MhnyOCWAcCoYn/view" TargetMode="External" Id="rId12"/><Relationship Type="http://schemas.openxmlformats.org/officeDocument/2006/relationships/hyperlink" Target="https://drive.google.com/file/d/1-d3tVc0mIz-y4Ki04QSiLqzhQkmAmXOe/view" TargetMode="External" Id="rId13"/><Relationship Type="http://schemas.openxmlformats.org/officeDocument/2006/relationships/hyperlink" Target="https://drive.google.com/file/d/1DD2K_roGc8IbIGYyaZz0ZyRB3WkjQpx2/view" TargetMode="External" Id="rId14"/><Relationship Type="http://schemas.openxmlformats.org/officeDocument/2006/relationships/hyperlink" Target="https://drive.google.com/file/d/1gsebImDr2Ug4Mc223JWP4mrptSx4s4zz/view" TargetMode="External" Id="rId15"/><Relationship Type="http://schemas.openxmlformats.org/officeDocument/2006/relationships/hyperlink" Target="https://drive.google.com/file/d/16J-rRtwXGZgi-JDW1D5MhnyOCWAcCoYn/view" TargetMode="External" Id="rId16"/><Relationship Type="http://schemas.openxmlformats.org/officeDocument/2006/relationships/hyperlink" Target="https://drive.google.com/file/d/17I0L3xr569bKEwubMaGBvTUyNrmrigGR/view" TargetMode="External" Id="rId17"/><Relationship Type="http://schemas.openxmlformats.org/officeDocument/2006/relationships/hyperlink" Target="https://drive.google.com/file/d/1N6ddOzzvzfaAeJjRPj7WSBgl3t6CNBO8/view" TargetMode="External" Id="rId18"/><Relationship Type="http://schemas.openxmlformats.org/officeDocument/2006/relationships/hyperlink" Target="https://drive.google.com/file/d/1GhcKOCaU3-AxT_XoCK9d5EON5iZCVvgk/view" TargetMode="External" Id="rId19"/><Relationship Type="http://schemas.openxmlformats.org/officeDocument/2006/relationships/hyperlink" Target="https://drive.google.com/file/d/1O7P_RZB9cbWL8MSGmEla_T4IKsJQef3k/view" TargetMode="External" Id="rId20"/><Relationship Type="http://schemas.openxmlformats.org/officeDocument/2006/relationships/hyperlink" Target="https://drive.google.com/file/d/1o_q6W3Kdbfaq__fOEJSu5wRSXAckrE7e/view" TargetMode="External" Id="rId21"/><Relationship Type="http://schemas.openxmlformats.org/officeDocument/2006/relationships/hyperlink" Target="https://drive.google.com/file/d/1gez4kBsIKTOeBbWS4ixlqF-3b5kXr-QU/view" TargetMode="External" Id="rId22"/><Relationship Type="http://schemas.openxmlformats.org/officeDocument/2006/relationships/hyperlink" Target="https://drive.google.com/file/d/1F46I_YMldcB4SLuaKAHMSGNcTp9WKQVA/view" TargetMode="External" Id="rId23"/><Relationship Type="http://schemas.openxmlformats.org/officeDocument/2006/relationships/hyperlink" Target="https://drive.google.com/file/d/1C2ciK31scWRWiRuyNMpBUZldNwuOCtgs/view" TargetMode="External" Id="rId24"/><Relationship Type="http://schemas.openxmlformats.org/officeDocument/2006/relationships/hyperlink" Target="https://drive.google.com/file/d/1gsebImDr2Ug4Mc223JWP4mrptSx4s4zz/view" TargetMode="External" Id="rId25"/><Relationship Type="http://schemas.openxmlformats.org/officeDocument/2006/relationships/hyperlink" Target="https://drive.google.com/file/d/16J-rRtwXGZgi-JDW1D5MhnyOCWAcCoYn/view" TargetMode="External" Id="rId26"/><Relationship Type="http://schemas.openxmlformats.org/officeDocument/2006/relationships/hyperlink" Target="https://drive.google.com/file/d/1gsebImDr2Ug4Mc223JWP4mrptSx4s4zz/view" TargetMode="External" Id="rId27"/><Relationship Type="http://schemas.openxmlformats.org/officeDocument/2006/relationships/hyperlink" Target="https://drive.google.com/file/d/16J-rRtwXGZgi-JDW1D5MhnyOCWAcCoYn/view" TargetMode="External" Id="rId28"/><Relationship Type="http://schemas.openxmlformats.org/officeDocument/2006/relationships/hyperlink" Target="https://drive.google.com/file/d/1pKYEMYHoClGk3TAyspK6vzCyn-txbQm4/view" TargetMode="External" Id="rId29"/><Relationship Type="http://schemas.openxmlformats.org/officeDocument/2006/relationships/hyperlink" Target="https://drive.google.com/file/d/10djoXv3Sw7hyY2ini0n216UBO4CeD2lA/view" TargetMode="External" Id="rId30"/><Relationship Type="http://schemas.openxmlformats.org/officeDocument/2006/relationships/hyperlink" Target="https://drive.google.com/file/d/1gsebImDr2Ug4Mc223JWP4mrptSx4s4zz/view" TargetMode="External" Id="rId31"/><Relationship Type="http://schemas.openxmlformats.org/officeDocument/2006/relationships/hyperlink" Target="https://drive.google.com/file/d/16J-rRtwXGZgi-JDW1D5MhnyOCWAcCoYn/view" TargetMode="External" Id="rId32"/><Relationship Type="http://schemas.openxmlformats.org/officeDocument/2006/relationships/hyperlink" Target="https://drive.google.com/file/d/1-d3tVc0mIz-y4Ki04QSiLqzhQkmAmXOe/view" TargetMode="External" Id="rId33"/><Relationship Type="http://schemas.openxmlformats.org/officeDocument/2006/relationships/hyperlink" Target="https://drive.google.com/file/d/1DD2K_roGc8IbIGYyaZz0ZyRB3WkjQpx2/view" TargetMode="External" Id="rId34"/><Relationship Type="http://schemas.openxmlformats.org/officeDocument/2006/relationships/hyperlink" Target="https://drive.google.com/file/d/1gsebImDr2Ug4Mc223JWP4mrptSx4s4zz/view" TargetMode="External" Id="rId35"/><Relationship Type="http://schemas.openxmlformats.org/officeDocument/2006/relationships/hyperlink" Target="https://drive.google.com/file/d/16J-rRtwXGZgi-JDW1D5MhnyOCWAcCoYn/view" TargetMode="External" Id="rId36"/><Relationship Type="http://schemas.openxmlformats.org/officeDocument/2006/relationships/hyperlink" Target="https://drive.google.com/file/d/18mXXTGPnEnJzRjhga8cfj2gGffdBwe-O/view" TargetMode="External" Id="rId37"/><Relationship Type="http://schemas.openxmlformats.org/officeDocument/2006/relationships/hyperlink" Target="https://drive.google.com/file/d/1V8e4v3Hyr9-8K3blbURE0uwWGEulTJUg/view" TargetMode="External" Id="rId38"/><Relationship Type="http://schemas.openxmlformats.org/officeDocument/2006/relationships/hyperlink" Target="https://drive.google.com/file/d/1pKYEMYHoClGk3TAyspK6vzCyn-txbQm4/view" TargetMode="External" Id="rId39"/><Relationship Type="http://schemas.openxmlformats.org/officeDocument/2006/relationships/hyperlink" Target="https://drive.google.com/file/d/10djoXv3Sw7hyY2ini0n216UBO4CeD2lA/view" TargetMode="External" Id="rId40"/><Relationship Type="http://schemas.openxmlformats.org/officeDocument/2006/relationships/hyperlink" Target="https://drive.google.com/file/d/1QCNuMnon11nszQia48jrXARu_YAsBpEW/view" TargetMode="External" Id="rId41"/><Relationship Type="http://schemas.openxmlformats.org/officeDocument/2006/relationships/hyperlink" Target="https://drive.google.com/file/d/1C0uBfQecAszPuQXfu7r0lMuj7suIHc7B/view" TargetMode="External" Id="rId42"/><Relationship Type="http://schemas.openxmlformats.org/officeDocument/2006/relationships/hyperlink" Target="https://drive.google.com/file/d/1lF-9KUXzO_HqPqyTFmeIJG8EBEIDadUH/view" TargetMode="External" Id="rId43"/><Relationship Type="http://schemas.openxmlformats.org/officeDocument/2006/relationships/hyperlink" Target="https://drive.google.com/file/d/1l1UZ3YlmwKOaRUjBPw1rZo1eeMykiBfp/view" TargetMode="External" Id="rId44"/><Relationship Type="http://schemas.openxmlformats.org/officeDocument/2006/relationships/hyperlink" Target="https://drive.google.com/file/d/1vYt0reOS2KzdcFLpCBqKAIp1utqVchyP/view" TargetMode="External" Id="rId45"/><Relationship Type="http://schemas.openxmlformats.org/officeDocument/2006/relationships/hyperlink" Target="https://drive.google.com/file/d/1ttTCSL5OBkY2g5tIkhvXk8XXr-loX1Px/view" TargetMode="External" Id="rId46"/><Relationship Type="http://schemas.openxmlformats.org/officeDocument/2006/relationships/hyperlink" Target="https://drive.google.com/file/d/1O86AohKoj20CXKRPJbzDx0eiN6e3ahSt/view" TargetMode="External" Id="rId47"/><Relationship Type="http://schemas.openxmlformats.org/officeDocument/2006/relationships/hyperlink" Target="https://drive.google.com/file/d/1V3YkuYiQ3qqQ0dh74YnpqW4NHvoOUrdh/view" TargetMode="External" Id="rId48"/><Relationship Type="http://schemas.openxmlformats.org/officeDocument/2006/relationships/hyperlink" Target="https://drive.google.com/file/d/18mXXTGPnEnJzRjhga8cfj2gGffdBwe-O/view" TargetMode="External" Id="rId49"/><Relationship Type="http://schemas.openxmlformats.org/officeDocument/2006/relationships/hyperlink" Target="https://drive.google.com/file/d/1V8e4v3Hyr9-8K3blbURE0uwWGEulTJUg/view" TargetMode="External" Id="rId50"/><Relationship Type="http://schemas.openxmlformats.org/officeDocument/2006/relationships/hyperlink" Target="https://drive.google.com/file/d/1OtHrkBKNFYzokUsTYrOfFdxE5dV7aHzQ/view" TargetMode="External" Id="rId51"/><Relationship Type="http://schemas.openxmlformats.org/officeDocument/2006/relationships/hyperlink" Target="https://drive.google.com/file/d/1qdUHA5r45lnt72MAlEmEVL08_OHGcYh_/view" TargetMode="External" Id="rId52"/><Relationship Type="http://schemas.openxmlformats.org/officeDocument/2006/relationships/hyperlink" Target="https://drive.google.com/file/d/1O86AohKoj20CXKRPJbzDx0eiN6e3ahSt/view" TargetMode="External" Id="rId53"/><Relationship Type="http://schemas.openxmlformats.org/officeDocument/2006/relationships/hyperlink" Target="https://drive.google.com/file/d/1V3YkuYiQ3qqQ0dh74YnpqW4NHvoOUrdh/view" TargetMode="External" Id="rId54"/><Relationship Type="http://schemas.openxmlformats.org/officeDocument/2006/relationships/hyperlink" Target="https://drive.google.com/file/d/1-d3tVc0mIz-y4Ki04QSiLqzhQkmAmXOe/view" TargetMode="External" Id="rId55"/><Relationship Type="http://schemas.openxmlformats.org/officeDocument/2006/relationships/hyperlink" Target="https://drive.google.com/file/d/1DD2K_roGc8IbIGYyaZz0ZyRB3WkjQpx2/view" TargetMode="External" Id="rId56"/><Relationship Type="http://schemas.openxmlformats.org/officeDocument/2006/relationships/hyperlink" Target="https://drive.google.com/file/d/1-d3tVc0mIz-y4Ki04QSiLqzhQkmAmXOe/view" TargetMode="External" Id="rId57"/><Relationship Type="http://schemas.openxmlformats.org/officeDocument/2006/relationships/hyperlink" Target="https://drive.google.com/file/d/1DD2K_roGc8IbIGYyaZz0ZyRB3WkjQpx2/view" TargetMode="External" Id="rId58"/><Relationship Type="http://schemas.openxmlformats.org/officeDocument/2006/relationships/hyperlink" Target="https://drive.google.com/file/d/1QCNuMnon11nszQia48jrXARu_YAsBpEW/view" TargetMode="External" Id="rId59"/><Relationship Type="http://schemas.openxmlformats.org/officeDocument/2006/relationships/hyperlink" Target="https://drive.google.com/file/d/1C0uBfQecAszPuQXfu7r0lMuj7suIHc7B/view" TargetMode="External" Id="rId60"/><Relationship Type="http://schemas.openxmlformats.org/officeDocument/2006/relationships/hyperlink" Target="https://drive.google.com/file/d/1pKYEMYHoClGk3TAyspK6vzCyn-txbQm4/view" TargetMode="External" Id="rId61"/><Relationship Type="http://schemas.openxmlformats.org/officeDocument/2006/relationships/hyperlink" Target="https://drive.google.com/file/d/10djoXv3Sw7hyY2ini0n216UBO4CeD2lA/view" TargetMode="External" Id="rId62"/><Relationship Type="http://schemas.openxmlformats.org/officeDocument/2006/relationships/hyperlink" Target="https://drive.google.com/file/d/1GhcKOCaU3-AxT_XoCK9d5EON5iZCVvgk/view" TargetMode="External" Id="rId63"/><Relationship Type="http://schemas.openxmlformats.org/officeDocument/2006/relationships/hyperlink" Target="https://drive.google.com/file/d/1O7P_RZB9cbWL8MSGmEla_T4IKsJQef3k/view" TargetMode="External" Id="rId64"/><Relationship Type="http://schemas.openxmlformats.org/officeDocument/2006/relationships/hyperlink" Target="https://drive.google.com/file/d/1D0o1_a45mbioxq_Xorjnx1__OLqPDEkg/view" TargetMode="External" Id="rId65"/><Relationship Type="http://schemas.openxmlformats.org/officeDocument/2006/relationships/hyperlink" Target="https://drive.google.com/file/d/1NxNoFq4XNHFkBSM-erz0URh6Ad6wQyiX/view" TargetMode="External" Id="rId66"/><Relationship Type="http://schemas.openxmlformats.org/officeDocument/2006/relationships/hyperlink" Target="https://drive.google.com/file/d/1D0o1_a45mbioxq_Xorjnx1__OLqPDEkg/view" TargetMode="External" Id="rId67"/><Relationship Type="http://schemas.openxmlformats.org/officeDocument/2006/relationships/hyperlink" Target="https://drive.google.com/file/d/1NxNoFq4XNHFkBSM-erz0URh6Ad6wQyiX/view" TargetMode="External" Id="rId68"/><Relationship Type="http://schemas.openxmlformats.org/officeDocument/2006/relationships/hyperlink" Target="https://drive.google.com/file/d/1STsUChg_qVkiFrDhwKQSVbz1HLfKjkEs/view" TargetMode="External" Id="rId69"/><Relationship Type="http://schemas.openxmlformats.org/officeDocument/2006/relationships/hyperlink" Target="https://drive.google.com/file/d/1tLxI-vHJLofJTgl4nBE_uDVfj6WROkZA/view" TargetMode="External" Id="rId70"/><Relationship Type="http://schemas.openxmlformats.org/officeDocument/2006/relationships/hyperlink" Target="https://drive.google.com/file/d/1QCNuMnon11nszQia48jrXARu_YAsBpEW/view" TargetMode="External" Id="rId71"/><Relationship Type="http://schemas.openxmlformats.org/officeDocument/2006/relationships/hyperlink" Target="https://drive.google.com/file/d/1C0uBfQecAszPuQXfu7r0lMuj7suIHc7B/view" TargetMode="External" Id="rId72"/><Relationship Type="http://schemas.openxmlformats.org/officeDocument/2006/relationships/hyperlink" Target="https://drive.google.com/file/d/1GhcKOCaU3-AxT_XoCK9d5EON5iZCVvgk/view" TargetMode="External" Id="rId73"/><Relationship Type="http://schemas.openxmlformats.org/officeDocument/2006/relationships/hyperlink" Target="https://drive.google.com/file/d/1O7P_RZB9cbWL8MSGmEla_T4IKsJQef3k/view" TargetMode="External" Id="rId74"/><Relationship Type="http://schemas.openxmlformats.org/officeDocument/2006/relationships/hyperlink" Target="https://drive.google.com/file/d/1pKYEMYHoClGk3TAyspK6vzCyn-txbQm4/view" TargetMode="External" Id="rId75"/><Relationship Type="http://schemas.openxmlformats.org/officeDocument/2006/relationships/hyperlink" Target="https://drive.google.com/file/d/10djoXv3Sw7hyY2ini0n216UBO4CeD2lA/view" TargetMode="External" Id="rId76"/><Relationship Type="http://schemas.openxmlformats.org/officeDocument/2006/relationships/hyperlink" Target="https://drive.google.com/file/d/1k5bsUvbpB36qmE5hXpmBcv3Ojm2AzWoj/view" TargetMode="External" Id="rId77"/><Relationship Type="http://schemas.openxmlformats.org/officeDocument/2006/relationships/hyperlink" Target="https://drive.google.com/file/d/1mhrvprzm3vFVzbEJoOCDxcXdgJX-WMUM/view" TargetMode="External" Id="rId78"/><Relationship Type="http://schemas.openxmlformats.org/officeDocument/2006/relationships/hyperlink" Target="https://drive.google.com/file/d/1STsUChg_qVkiFrDhwKQSVbz1HLfKjkEs/view" TargetMode="External" Id="rId79"/><Relationship Type="http://schemas.openxmlformats.org/officeDocument/2006/relationships/hyperlink" Target="https://drive.google.com/file/d/1tLxI-vHJLofJTgl4nBE_uDVfj6WROkZA/view" TargetMode="External" Id="rId80"/><Relationship Type="http://schemas.openxmlformats.org/officeDocument/2006/relationships/hyperlink" Target="https://drive.google.com/file/d/1F46I_YMldcB4SLuaKAHMSGNcTp9WKQVA/view" TargetMode="External" Id="rId81"/><Relationship Type="http://schemas.openxmlformats.org/officeDocument/2006/relationships/hyperlink" Target="https://drive.google.com/file/d/1C2ciK31scWRWiRuyNMpBUZldNwuOCtgs/view" TargetMode="External" Id="rId82"/><Relationship Type="http://schemas.openxmlformats.org/officeDocument/2006/relationships/hyperlink" Target="https://drive.google.com/file/d/1F46I_YMldcB4SLuaKAHMSGNcTp9WKQVA/view" TargetMode="External" Id="rId83"/><Relationship Type="http://schemas.openxmlformats.org/officeDocument/2006/relationships/hyperlink" Target="https://drive.google.com/file/d/1C2ciK31scWRWiRuyNMpBUZldNwuOCtgs/view" TargetMode="External" Id="rId84"/><Relationship Type="http://schemas.openxmlformats.org/officeDocument/2006/relationships/hyperlink" Target="https://drive.google.com/file/d/1GhcKOCaU3-AxT_XoCK9d5EON5iZCVvgk/view" TargetMode="External" Id="rId85"/><Relationship Type="http://schemas.openxmlformats.org/officeDocument/2006/relationships/hyperlink" Target="https://drive.google.com/file/d/1O7P_RZB9cbWL8MSGmEla_T4IKsJQef3k/view" TargetMode="External" Id="rId86"/><Relationship Type="http://schemas.openxmlformats.org/officeDocument/2006/relationships/hyperlink" Target="https://drive.google.com/file/d/1QCNuMnon11nszQia48jrXARu_YAsBpEW/view" TargetMode="External" Id="rId87"/><Relationship Type="http://schemas.openxmlformats.org/officeDocument/2006/relationships/hyperlink" Target="https://drive.google.com/file/d/1C0uBfQecAszPuQXfu7r0lMuj7suIHc7B/view" TargetMode="External" Id="rId88"/><Relationship Type="http://schemas.openxmlformats.org/officeDocument/2006/relationships/hyperlink" Target="https://drive.google.com/file/d/1GhcKOCaU3-AxT_XoCK9d5EON5iZCVvgk/view" TargetMode="External" Id="rId89"/><Relationship Type="http://schemas.openxmlformats.org/officeDocument/2006/relationships/hyperlink" Target="https://drive.google.com/file/d/1O7P_RZB9cbWL8MSGmEla_T4IKsJQef3k/view" TargetMode="External" Id="rId90"/><Relationship Type="http://schemas.openxmlformats.org/officeDocument/2006/relationships/hyperlink" Target="https://drive.google.com/file/d/1GhcKOCaU3-AxT_XoCK9d5EON5iZCVvgk/view" TargetMode="External" Id="rId91"/><Relationship Type="http://schemas.openxmlformats.org/officeDocument/2006/relationships/hyperlink" Target="https://drive.google.com/file/d/1O7P_RZB9cbWL8MSGmEla_T4IKsJQef3k/view" TargetMode="External" Id="rId92"/><Relationship Type="http://schemas.openxmlformats.org/officeDocument/2006/relationships/hyperlink" Target="https://drive.google.com/file/d/1gsebImDr2Ug4Mc223JWP4mrptSx4s4zz/view" TargetMode="External" Id="rId93"/><Relationship Type="http://schemas.openxmlformats.org/officeDocument/2006/relationships/hyperlink" Target="https://drive.google.com/file/d/16J-rRtwXGZgi-JDW1D5MhnyOCWAcCoYn/view" TargetMode="External" Id="rId94"/><Relationship Type="http://schemas.openxmlformats.org/officeDocument/2006/relationships/hyperlink" Target="https://drive.google.com/file/d/1pKYEMYHoClGk3TAyspK6vzCyn-txbQm4/view" TargetMode="External" Id="rId95"/><Relationship Type="http://schemas.openxmlformats.org/officeDocument/2006/relationships/hyperlink" Target="https://drive.google.com/file/d/10djoXv3Sw7hyY2ini0n216UBO4CeD2lA/view" TargetMode="External" Id="rId96"/><Relationship Type="http://schemas.openxmlformats.org/officeDocument/2006/relationships/hyperlink" Target="https://drive.google.com/file/d/1o_q6W3Kdbfaq__fOEJSu5wRSXAckrE7e/view" TargetMode="External" Id="rId97"/><Relationship Type="http://schemas.openxmlformats.org/officeDocument/2006/relationships/hyperlink" Target="https://drive.google.com/file/d/1gez4kBsIKTOeBbWS4ixlqF-3b5kXr-QU/view" TargetMode="External" Id="rId98"/><Relationship Type="http://schemas.openxmlformats.org/officeDocument/2006/relationships/hyperlink" Target="https://drive.google.com/file/d/17I0L3xr569bKEwubMaGBvTUyNrmrigGR/view" TargetMode="External" Id="rId99"/><Relationship Type="http://schemas.openxmlformats.org/officeDocument/2006/relationships/hyperlink" Target="https://drive.google.com/file/d/1N6ddOzzvzfaAeJjRPj7WSBgl3t6CNBO8/view" TargetMode="External" Id="rId100"/><Relationship Type="http://schemas.openxmlformats.org/officeDocument/2006/relationships/hyperlink" Target="https://drive.google.com/file/d/1k5bsUvbpB36qmE5hXpmBcv3Ojm2AzWoj/view" TargetMode="External" Id="rId101"/><Relationship Type="http://schemas.openxmlformats.org/officeDocument/2006/relationships/hyperlink" Target="https://drive.google.com/file/d/1mhrvprzm3vFVzbEJoOCDxcXdgJX-WMUM/view" TargetMode="External" Id="rId102"/><Relationship Type="http://schemas.openxmlformats.org/officeDocument/2006/relationships/hyperlink" Target="https://drive.google.com/file/d/1k5bsUvbpB36qmE5hXpmBcv3Ojm2AzWoj/view" TargetMode="External" Id="rId103"/><Relationship Type="http://schemas.openxmlformats.org/officeDocument/2006/relationships/hyperlink" Target="https://drive.google.com/file/d/1mhrvprzm3vFVzbEJoOCDxcXdgJX-WMUM/view" TargetMode="External" Id="rId104"/><Relationship Type="http://schemas.openxmlformats.org/officeDocument/2006/relationships/hyperlink" Target="https://drive.google.com/file/d/1k5bsUvbpB36qmE5hXpmBcv3Ojm2AzWoj/view" TargetMode="External" Id="rId105"/><Relationship Type="http://schemas.openxmlformats.org/officeDocument/2006/relationships/hyperlink" Target="https://drive.google.com/file/d/1mhrvprzm3vFVzbEJoOCDxcXdgJX-WMUM/view" TargetMode="External" Id="rId106"/><Relationship Type="http://schemas.openxmlformats.org/officeDocument/2006/relationships/hyperlink" Target="https://drive.google.com/file/d/1ZxksAPQKfahaG3BVU0dEDLWXl-S1sxBm/view" TargetMode="External" Id="rId107"/><Relationship Type="http://schemas.openxmlformats.org/officeDocument/2006/relationships/hyperlink" Target="https://drive.google.com/file/d/1gjHtmI14rEaHgISLtt57RkA_fz5G83yj/view" TargetMode="External" Id="rId108"/><Relationship Type="http://schemas.openxmlformats.org/officeDocument/2006/relationships/hyperlink" Target="https://drive.google.com/file/d/1w90Pi3Dys9oJjtmgo3kxxl0mB2KkNW7g/view" TargetMode="External" Id="rId109"/><Relationship Type="http://schemas.openxmlformats.org/officeDocument/2006/relationships/hyperlink" Target="https://drive.google.com/file/d/1c2qLGnWNrPREAKADHekWenVlbf_JUKbR/view" TargetMode="External" Id="rId110"/><Relationship Type="http://schemas.openxmlformats.org/officeDocument/2006/relationships/hyperlink" Target="https://drive.google.com/file/d/1QCNuMnon11nszQia48jrXARu_YAsBpEW/view" TargetMode="External" Id="rId111"/><Relationship Type="http://schemas.openxmlformats.org/officeDocument/2006/relationships/hyperlink" Target="https://drive.google.com/file/d/1C0uBfQecAszPuQXfu7r0lMuj7suIHc7B/view" TargetMode="External" Id="rId112"/><Relationship Type="http://schemas.openxmlformats.org/officeDocument/2006/relationships/hyperlink" Target="https://drive.google.com/file/d/1lF-9KUXzO_HqPqyTFmeIJG8EBEIDadUH/view" TargetMode="External" Id="rId113"/><Relationship Type="http://schemas.openxmlformats.org/officeDocument/2006/relationships/hyperlink" Target="https://drive.google.com/file/d/1l1UZ3YlmwKOaRUjBPw1rZo1eeMykiBfp/view" TargetMode="External" Id="rId114"/><Relationship Type="http://schemas.openxmlformats.org/officeDocument/2006/relationships/hyperlink" Target="https://drive.google.com/file/d/1OtHrkBKNFYzokUsTYrOfFdxE5dV7aHzQ/view" TargetMode="External" Id="rId115"/><Relationship Type="http://schemas.openxmlformats.org/officeDocument/2006/relationships/hyperlink" Target="https://drive.google.com/file/d/1qdUHA5r45lnt72MAlEmEVL08_OHGcYh_/view" TargetMode="External" Id="rId116"/><Relationship Type="http://schemas.openxmlformats.org/officeDocument/2006/relationships/hyperlink" Target="https://drive.google.com/file/d/1O86AohKoj20CXKRPJbzDx0eiN6e3ahSt/view" TargetMode="External" Id="rId117"/><Relationship Type="http://schemas.openxmlformats.org/officeDocument/2006/relationships/hyperlink" Target="https://drive.google.com/file/d/1V3YkuYiQ3qqQ0dh74YnpqW4NHvoOUrdh/view" TargetMode="External" Id="rId118"/><Relationship Type="http://schemas.openxmlformats.org/officeDocument/2006/relationships/hyperlink" Target="https://drive.google.com/file/d/1GhcKOCaU3-AxT_XoCK9d5EON5iZCVvgk/view" TargetMode="External" Id="rId119"/><Relationship Type="http://schemas.openxmlformats.org/officeDocument/2006/relationships/hyperlink" Target="https://drive.google.com/file/d/1O7P_RZB9cbWL8MSGmEla_T4IKsJQef3k/view" TargetMode="External" Id="rId120"/><Relationship Type="http://schemas.openxmlformats.org/officeDocument/2006/relationships/hyperlink" Target="https://drive.google.com/file/d/1D0o1_a45mbioxq_Xorjnx1__OLqPDEkg/view" TargetMode="External" Id="rId121"/><Relationship Type="http://schemas.openxmlformats.org/officeDocument/2006/relationships/hyperlink" Target="https://drive.google.com/file/d/1NxNoFq4XNHFkBSM-erz0URh6Ad6wQyiX/view" TargetMode="External" Id="rId122"/><Relationship Type="http://schemas.openxmlformats.org/officeDocument/2006/relationships/hyperlink" Target="https://drive.google.com/file/d/1-d3tVc0mIz-y4Ki04QSiLqzhQkmAmXOe/view" TargetMode="External" Id="rId123"/><Relationship Type="http://schemas.openxmlformats.org/officeDocument/2006/relationships/hyperlink" Target="https://drive.google.com/file/d/1DD2K_roGc8IbIGYyaZz0ZyRB3WkjQpx2/view" TargetMode="External" Id="rId124"/><Relationship Type="http://schemas.openxmlformats.org/officeDocument/2006/relationships/hyperlink" Target="https://drive.google.com/file/d/1F46I_YMldcB4SLuaKAHMSGNcTp9WKQVA/view" TargetMode="External" Id="rId125"/><Relationship Type="http://schemas.openxmlformats.org/officeDocument/2006/relationships/hyperlink" Target="https://drive.google.com/file/d/1C2ciK31scWRWiRuyNMpBUZldNwuOCtgs/view" TargetMode="External" Id="rId126"/><Relationship Type="http://schemas.openxmlformats.org/officeDocument/2006/relationships/hyperlink" Target="https://drive.google.com/file/d/1o_q6W3Kdbfaq__fOEJSu5wRSXAckrE7e/view" TargetMode="External" Id="rId127"/><Relationship Type="http://schemas.openxmlformats.org/officeDocument/2006/relationships/hyperlink" Target="https://drive.google.com/file/d/1gez4kBsIKTOeBbWS4ixlqF-3b5kXr-QU/view" TargetMode="External" Id="rId128"/><Relationship Type="http://schemas.openxmlformats.org/officeDocument/2006/relationships/hyperlink" Target="https://drive.google.com/file/d/1STsUChg_qVkiFrDhwKQSVbz1HLfKjkEs/view" TargetMode="External" Id="rId129"/><Relationship Type="http://schemas.openxmlformats.org/officeDocument/2006/relationships/hyperlink" Target="https://drive.google.com/file/d/1tLxI-vHJLofJTgl4nBE_uDVfj6WROkZA/view" TargetMode="External" Id="rId130"/><Relationship Type="http://schemas.openxmlformats.org/officeDocument/2006/relationships/hyperlink" Target="https://drive.google.com/file/d/18mXXTGPnEnJzRjhga8cfj2gGffdBwe-O/view" TargetMode="External" Id="rId131"/><Relationship Type="http://schemas.openxmlformats.org/officeDocument/2006/relationships/hyperlink" Target="https://drive.google.com/file/d/1V8e4v3Hyr9-8K3blbURE0uwWGEulTJUg/view" TargetMode="External" Id="rId132"/><Relationship Type="http://schemas.openxmlformats.org/officeDocument/2006/relationships/hyperlink" Target="https://drive.google.com/file/d/1vYt0reOS2KzdcFLpCBqKAIp1utqVchyP/view" TargetMode="External" Id="rId133"/><Relationship Type="http://schemas.openxmlformats.org/officeDocument/2006/relationships/hyperlink" Target="https://drive.google.com/file/d/1ttTCSL5OBkY2g5tIkhvXk8XXr-loX1Px/view" TargetMode="External" Id="rId134"/><Relationship Type="http://schemas.openxmlformats.org/officeDocument/2006/relationships/hyperlink" Target="https://drive.google.com/file/d/1pKYEMYHoClGk3TAyspK6vzCyn-txbQm4/view" TargetMode="External" Id="rId135"/><Relationship Type="http://schemas.openxmlformats.org/officeDocument/2006/relationships/hyperlink" Target="https://drive.google.com/file/d/10djoXv3Sw7hyY2ini0n216UBO4CeD2lA/view" TargetMode="External" Id="rId136"/><Relationship Type="http://schemas.openxmlformats.org/officeDocument/2006/relationships/hyperlink" Target="https://drive.google.com/file/d/1F46I_YMldcB4SLuaKAHMSGNcTp9WKQVA/view" TargetMode="External" Id="rId137"/><Relationship Type="http://schemas.openxmlformats.org/officeDocument/2006/relationships/hyperlink" Target="https://drive.google.com/file/d/1C2ciK31scWRWiRuyNMpBUZldNwuOCtgs/view" TargetMode="External" Id="rId138"/><Relationship Type="http://schemas.openxmlformats.org/officeDocument/2006/relationships/hyperlink" Target="https://drive.google.com/file/d/1gsebImDr2Ug4Mc223JWP4mrptSx4s4zz/view" TargetMode="External" Id="rId139"/><Relationship Type="http://schemas.openxmlformats.org/officeDocument/2006/relationships/hyperlink" Target="https://drive.google.com/file/d/16J-rRtwXGZgi-JDW1D5MhnyOCWAcCoYn/view" TargetMode="External" Id="rId140"/><Relationship Type="http://schemas.openxmlformats.org/officeDocument/2006/relationships/hyperlink" Target="https://drive.google.com/file/d/1gsebImDr2Ug4Mc223JWP4mrptSx4s4zz/view" TargetMode="External" Id="rId141"/><Relationship Type="http://schemas.openxmlformats.org/officeDocument/2006/relationships/hyperlink" Target="https://drive.google.com/file/d/16J-rRtwXGZgi-JDW1D5MhnyOCWAcCoYn/view" TargetMode="External" Id="rId142"/><Relationship Type="http://schemas.openxmlformats.org/officeDocument/2006/relationships/hyperlink" Target="https://drive.google.com/file/d/18mXXTGPnEnJzRjhga8cfj2gGffdBwe-O/view" TargetMode="External" Id="rId143"/><Relationship Type="http://schemas.openxmlformats.org/officeDocument/2006/relationships/hyperlink" Target="https://drive.google.com/file/d/1V8e4v3Hyr9-8K3blbURE0uwWGEulTJUg/view" TargetMode="External" Id="rId144"/><Relationship Type="http://schemas.openxmlformats.org/officeDocument/2006/relationships/hyperlink" Target="https://drive.google.com/file/d/1QCNuMnon11nszQia48jrXARu_YAsBpEW/view" TargetMode="External" Id="rId145"/><Relationship Type="http://schemas.openxmlformats.org/officeDocument/2006/relationships/hyperlink" Target="https://drive.google.com/file/d/1C0uBfQecAszPuQXfu7r0lMuj7suIHc7B/view" TargetMode="External" Id="rId146"/><Relationship Type="http://schemas.openxmlformats.org/officeDocument/2006/relationships/hyperlink" Target="https://drive.google.com/file/d/1GhcKOCaU3-AxT_XoCK9d5EON5iZCVvgk/view" TargetMode="External" Id="rId147"/><Relationship Type="http://schemas.openxmlformats.org/officeDocument/2006/relationships/hyperlink" Target="https://drive.google.com/file/d/1O7P_RZB9cbWL8MSGmEla_T4IKsJQef3k/view" TargetMode="External" Id="rId148"/><Relationship Type="http://schemas.openxmlformats.org/officeDocument/2006/relationships/hyperlink" Target="https://drive.google.com/file/d/1lF-9KUXzO_HqPqyTFmeIJG8EBEIDadUH/view" TargetMode="External" Id="rId149"/><Relationship Type="http://schemas.openxmlformats.org/officeDocument/2006/relationships/hyperlink" Target="https://drive.google.com/file/d/1l1UZ3YlmwKOaRUjBPw1rZo1eeMykiBfp/view" TargetMode="External" Id="rId150"/><Relationship Type="http://schemas.openxmlformats.org/officeDocument/2006/relationships/hyperlink" Target="https://drive.google.com/file/d/1gsebImDr2Ug4Mc223JWP4mrptSx4s4zz/view" TargetMode="External" Id="rId151"/><Relationship Type="http://schemas.openxmlformats.org/officeDocument/2006/relationships/hyperlink" Target="https://drive.google.com/file/d/16J-rRtwXGZgi-JDW1D5MhnyOCWAcCoYn/view" TargetMode="External" Id="rId152"/><Relationship Type="http://schemas.openxmlformats.org/officeDocument/2006/relationships/hyperlink" Target="https://drive.google.com/file/d/1vYt0reOS2KzdcFLpCBqKAIp1utqVchyP/view" TargetMode="External" Id="rId153"/><Relationship Type="http://schemas.openxmlformats.org/officeDocument/2006/relationships/hyperlink" Target="https://drive.google.com/file/d/1ttTCSL5OBkY2g5tIkhvXk8XXr-loX1Px/view" TargetMode="External" Id="rId154"/><Relationship Type="http://schemas.openxmlformats.org/officeDocument/2006/relationships/hyperlink" Target="https://drive.google.com/file/d/1gsebImDr2Ug4Mc223JWP4mrptSx4s4zz/view" TargetMode="External" Id="rId155"/><Relationship Type="http://schemas.openxmlformats.org/officeDocument/2006/relationships/hyperlink" Target="https://drive.google.com/file/d/16J-rRtwXGZgi-JDW1D5MhnyOCWAcCoYn/view" TargetMode="External" Id="rId156"/><Relationship Type="http://schemas.openxmlformats.org/officeDocument/2006/relationships/hyperlink" Target="https://drive.google.com/file/d/1gsebImDr2Ug4Mc223JWP4mrptSx4s4zz/view" TargetMode="External" Id="rId157"/><Relationship Type="http://schemas.openxmlformats.org/officeDocument/2006/relationships/hyperlink" Target="https://drive.google.com/file/d/16J-rRtwXGZgi-JDW1D5MhnyOCWAcCoYn/view" TargetMode="External" Id="rId158"/><Relationship Type="http://schemas.openxmlformats.org/officeDocument/2006/relationships/hyperlink" Target="https://drive.google.com/file/d/1gsebImDr2Ug4Mc223JWP4mrptSx4s4zz/view" TargetMode="External" Id="rId159"/><Relationship Type="http://schemas.openxmlformats.org/officeDocument/2006/relationships/hyperlink" Target="https://drive.google.com/file/d/16J-rRtwXGZgi-JDW1D5MhnyOCWAcCoYn/view" TargetMode="External" Id="rId160"/><Relationship Type="http://schemas.openxmlformats.org/officeDocument/2006/relationships/hyperlink" Target="https://drive.google.com/file/d/1vYt0reOS2KzdcFLpCBqKAIp1utqVchyP/view" TargetMode="External" Id="rId161"/><Relationship Type="http://schemas.openxmlformats.org/officeDocument/2006/relationships/hyperlink" Target="https://drive.google.com/file/d/1ttTCSL5OBkY2g5tIkhvXk8XXr-loX1Px/view" TargetMode="External" Id="rId162"/><Relationship Type="http://schemas.openxmlformats.org/officeDocument/2006/relationships/hyperlink" Target="https://drive.google.com/file/d/17I0L3xr569bKEwubMaGBvTUyNrmrigGR/view" TargetMode="External" Id="rId163"/><Relationship Type="http://schemas.openxmlformats.org/officeDocument/2006/relationships/hyperlink" Target="https://drive.google.com/file/d/1N6ddOzzvzfaAeJjRPj7WSBgl3t6CNBO8/view" TargetMode="External" Id="rId164"/><Relationship Type="http://schemas.openxmlformats.org/officeDocument/2006/relationships/hyperlink" Target="https://drive.google.com/file/d/1k5bsUvbpB36qmE5hXpmBcv3Ojm2AzWoj/view" TargetMode="External" Id="rId165"/><Relationship Type="http://schemas.openxmlformats.org/officeDocument/2006/relationships/hyperlink" Target="https://drive.google.com/file/d/1mhrvprzm3vFVzbEJoOCDxcXdgJX-WMUM/view" TargetMode="External" Id="rId166"/><Relationship Type="http://schemas.openxmlformats.org/officeDocument/2006/relationships/hyperlink" Target="https://drive.google.com/file/d/17I0L3xr569bKEwubMaGBvTUyNrmrigGR/view" TargetMode="External" Id="rId167"/><Relationship Type="http://schemas.openxmlformats.org/officeDocument/2006/relationships/hyperlink" Target="https://drive.google.com/file/d/1N6ddOzzvzfaAeJjRPj7WSBgl3t6CNBO8/view" TargetMode="External" Id="rId168"/><Relationship Type="http://schemas.openxmlformats.org/officeDocument/2006/relationships/hyperlink" Target="https://drive.google.com/file/d/1gsebImDr2Ug4Mc223JWP4mrptSx4s4zz/view" TargetMode="External" Id="rId169"/><Relationship Type="http://schemas.openxmlformats.org/officeDocument/2006/relationships/hyperlink" Target="https://drive.google.com/file/d/16J-rRtwXGZgi-JDW1D5MhnyOCWAcCoYn/view" TargetMode="External" Id="rId170"/><Relationship Type="http://schemas.openxmlformats.org/officeDocument/2006/relationships/hyperlink" Target="https://drive.google.com/file/d/1gsebImDr2Ug4Mc223JWP4mrptSx4s4zz/view" TargetMode="External" Id="rId171"/><Relationship Type="http://schemas.openxmlformats.org/officeDocument/2006/relationships/hyperlink" Target="https://drive.google.com/file/d/16J-rRtwXGZgi-JDW1D5MhnyOCWAcCoYn/view" TargetMode="External" Id="rId172"/><Relationship Type="http://schemas.openxmlformats.org/officeDocument/2006/relationships/hyperlink" Target="https://drive.google.com/file/d/1gsebImDr2Ug4Mc223JWP4mrptSx4s4zz/view" TargetMode="External" Id="rId173"/><Relationship Type="http://schemas.openxmlformats.org/officeDocument/2006/relationships/hyperlink" Target="https://drive.google.com/file/d/16J-rRtwXGZgi-JDW1D5MhnyOCWAcCoYn/view" TargetMode="External" Id="rId174"/><Relationship Type="http://schemas.openxmlformats.org/officeDocument/2006/relationships/hyperlink" Target="https://drive.google.com/file/d/1F46I_YMldcB4SLuaKAHMSGNcTp9WKQVA/view" TargetMode="External" Id="rId175"/><Relationship Type="http://schemas.openxmlformats.org/officeDocument/2006/relationships/hyperlink" Target="https://drive.google.com/file/d/1C2ciK31scWRWiRuyNMpBUZldNwuOCtgs/view" TargetMode="External" Id="rId176"/><Relationship Type="http://schemas.openxmlformats.org/officeDocument/2006/relationships/hyperlink" Target="https://drive.google.com/file/d/1-d3tVc0mIz-y4Ki04QSiLqzhQkmAmXOe/view" TargetMode="External" Id="rId177"/><Relationship Type="http://schemas.openxmlformats.org/officeDocument/2006/relationships/hyperlink" Target="https://drive.google.com/file/d/1DD2K_roGc8IbIGYyaZz0ZyRB3WkjQpx2/view" TargetMode="External" Id="rId178"/><Relationship Type="http://schemas.openxmlformats.org/officeDocument/2006/relationships/hyperlink" Target="https://drive.google.com/file/d/1GhcKOCaU3-AxT_XoCK9d5EON5iZCVvgk/view" TargetMode="External" Id="rId179"/><Relationship Type="http://schemas.openxmlformats.org/officeDocument/2006/relationships/hyperlink" Target="https://drive.google.com/file/d/1O7P_RZB9cbWL8MSGmEla_T4IKsJQef3k/view" TargetMode="External" Id="rId180"/><Relationship Type="http://schemas.openxmlformats.org/officeDocument/2006/relationships/hyperlink" Target="https://drive.google.com/file/d/1-d3tVc0mIz-y4Ki04QSiLqzhQkmAmXOe/view" TargetMode="External" Id="rId181"/><Relationship Type="http://schemas.openxmlformats.org/officeDocument/2006/relationships/hyperlink" Target="https://drive.google.com/file/d/1DD2K_roGc8IbIGYyaZz0ZyRB3WkjQpx2/view" TargetMode="External" Id="rId182"/><Relationship Type="http://schemas.openxmlformats.org/officeDocument/2006/relationships/hyperlink" Target="https://drive.google.com/file/d/1vYt0reOS2KzdcFLpCBqKAIp1utqVchyP/view" TargetMode="External" Id="rId183"/><Relationship Type="http://schemas.openxmlformats.org/officeDocument/2006/relationships/hyperlink" Target="https://drive.google.com/file/d/1ttTCSL5OBkY2g5tIkhvXk8XXr-loX1Px/view" TargetMode="External" Id="rId184"/><Relationship Type="http://schemas.openxmlformats.org/officeDocument/2006/relationships/hyperlink" Target="https://drive.google.com/file/d/1k5bsUvbpB36qmE5hXpmBcv3Ojm2AzWoj/view" TargetMode="External" Id="rId185"/><Relationship Type="http://schemas.openxmlformats.org/officeDocument/2006/relationships/hyperlink" Target="https://drive.google.com/file/d/1mhrvprzm3vFVzbEJoOCDxcXdgJX-WMUM/view" TargetMode="External" Id="rId186"/><Relationship Type="http://schemas.openxmlformats.org/officeDocument/2006/relationships/hyperlink" Target="https://drive.google.com/file/d/1vYt0reOS2KzdcFLpCBqKAIp1utqVchyP/view" TargetMode="External" Id="rId187"/><Relationship Type="http://schemas.openxmlformats.org/officeDocument/2006/relationships/hyperlink" Target="https://drive.google.com/file/d/1ttTCSL5OBkY2g5tIkhvXk8XXr-loX1Px/view" TargetMode="External" Id="rId188"/><Relationship Type="http://schemas.openxmlformats.org/officeDocument/2006/relationships/hyperlink" Target="https://drive.google.com/file/d/1o_q6W3Kdbfaq__fOEJSu5wRSXAckrE7e/view" TargetMode="External" Id="rId189"/><Relationship Type="http://schemas.openxmlformats.org/officeDocument/2006/relationships/hyperlink" Target="https://drive.google.com/file/d/1gez4kBsIKTOeBbWS4ixlqF-3b5kXr-QU/view" TargetMode="External" Id="rId190"/><Relationship Type="http://schemas.openxmlformats.org/officeDocument/2006/relationships/hyperlink" Target="https://drive.google.com/file/d/17I0L3xr569bKEwubMaGBvTUyNrmrigGR/view" TargetMode="External" Id="rId191"/><Relationship Type="http://schemas.openxmlformats.org/officeDocument/2006/relationships/hyperlink" Target="https://drive.google.com/file/d/1N6ddOzzvzfaAeJjRPj7WSBgl3t6CNBO8/view" TargetMode="External" Id="rId192"/><Relationship Type="http://schemas.openxmlformats.org/officeDocument/2006/relationships/hyperlink" Target="https://drive.google.com/file/d/1STsUChg_qVkiFrDhwKQSVbz1HLfKjkEs/view" TargetMode="External" Id="rId193"/><Relationship Type="http://schemas.openxmlformats.org/officeDocument/2006/relationships/hyperlink" Target="https://drive.google.com/file/d/1tLxI-vHJLofJTgl4nBE_uDVfj6WROkZA/view" TargetMode="External" Id="rId194"/><Relationship Type="http://schemas.openxmlformats.org/officeDocument/2006/relationships/hyperlink" Target="https://drive.google.com/file/d/1F46I_YMldcB4SLuaKAHMSGNcTp9WKQVA/view" TargetMode="External" Id="rId195"/><Relationship Type="http://schemas.openxmlformats.org/officeDocument/2006/relationships/hyperlink" Target="https://drive.google.com/file/d/1C2ciK31scWRWiRuyNMpBUZldNwuOCtgs/view" TargetMode="External" Id="rId196"/><Relationship Type="http://schemas.openxmlformats.org/officeDocument/2006/relationships/hyperlink" Target="https://drive.google.com/file/d/1k5bsUvbpB36qmE5hXpmBcv3Ojm2AzWoj/view" TargetMode="External" Id="rId197"/><Relationship Type="http://schemas.openxmlformats.org/officeDocument/2006/relationships/hyperlink" Target="https://drive.google.com/file/d/1mhrvprzm3vFVzbEJoOCDxcXdgJX-WMUM/view" TargetMode="External" Id="rId198"/><Relationship Type="http://schemas.openxmlformats.org/officeDocument/2006/relationships/hyperlink" Target="https://drive.google.com/file/d/1ZxksAPQKfahaG3BVU0dEDLWXl-S1sxBm/view" TargetMode="External" Id="rId199"/><Relationship Type="http://schemas.openxmlformats.org/officeDocument/2006/relationships/hyperlink" Target="https://drive.google.com/file/d/1gjHtmI14rEaHgISLtt57RkA_fz5G83yj/view" TargetMode="External" Id="rId200"/><Relationship Type="http://schemas.openxmlformats.org/officeDocument/2006/relationships/hyperlink" Target="https://drive.google.com/file/d/1w90Pi3Dys9oJjtmgo3kxxl0mB2KkNW7g/view" TargetMode="External" Id="rId201"/><Relationship Type="http://schemas.openxmlformats.org/officeDocument/2006/relationships/hyperlink" Target="https://drive.google.com/file/d/1c2qLGnWNrPREAKADHekWenVlbf_JUKbR/view" TargetMode="External" Id="rId202"/><Relationship Type="http://schemas.openxmlformats.org/officeDocument/2006/relationships/hyperlink" Target="https://drive.google.com/file/d/1QCNuMnon11nszQia48jrXARu_YAsBpEW/view" TargetMode="External" Id="rId203"/><Relationship Type="http://schemas.openxmlformats.org/officeDocument/2006/relationships/hyperlink" Target="https://drive.google.com/file/d/1C0uBfQecAszPuQXfu7r0lMuj7suIHc7B/view" TargetMode="External" Id="rId204"/><Relationship Type="http://schemas.openxmlformats.org/officeDocument/2006/relationships/hyperlink" Target="https://drive.google.com/file/d/1lF-9KUXzO_HqPqyTFmeIJG8EBEIDadUH/view" TargetMode="External" Id="rId205"/><Relationship Type="http://schemas.openxmlformats.org/officeDocument/2006/relationships/hyperlink" Target="https://drive.google.com/file/d/1l1UZ3YlmwKOaRUjBPw1rZo1eeMykiBfp/view" TargetMode="External" Id="rId206"/><Relationship Type="http://schemas.openxmlformats.org/officeDocument/2006/relationships/hyperlink" Target="https://drive.google.com/file/d/18mXXTGPnEnJzRjhga8cfj2gGffdBwe-O/view" TargetMode="External" Id="rId207"/><Relationship Type="http://schemas.openxmlformats.org/officeDocument/2006/relationships/hyperlink" Target="https://drive.google.com/file/d/1V8e4v3Hyr9-8K3blbURE0uwWGEulTJUg/view" TargetMode="External" Id="rId208"/><Relationship Type="http://schemas.openxmlformats.org/officeDocument/2006/relationships/hyperlink" Target="https://drive.google.com/file/d/1OtHrkBKNFYzokUsTYrOfFdxE5dV7aHzQ/view" TargetMode="External" Id="rId209"/><Relationship Type="http://schemas.openxmlformats.org/officeDocument/2006/relationships/hyperlink" Target="https://drive.google.com/file/d/1qdUHA5r45lnt72MAlEmEVL08_OHGcYh_/view" TargetMode="External" Id="rId210"/><Relationship Type="http://schemas.openxmlformats.org/officeDocument/2006/relationships/hyperlink" Target="https://drive.google.com/file/d/1GhcKOCaU3-AxT_XoCK9d5EON5iZCVvgk/view" TargetMode="External" Id="rId211"/><Relationship Type="http://schemas.openxmlformats.org/officeDocument/2006/relationships/hyperlink" Target="https://drive.google.com/file/d/1O7P_RZB9cbWL8MSGmEla_T4IKsJQef3k/view" TargetMode="External" Id="rId212"/><Relationship Type="http://schemas.openxmlformats.org/officeDocument/2006/relationships/hyperlink" Target="https://drive.google.com/file/d/1STsUChg_qVkiFrDhwKQSVbz1HLfKjkEs/view" TargetMode="External" Id="rId213"/><Relationship Type="http://schemas.openxmlformats.org/officeDocument/2006/relationships/hyperlink" Target="https://drive.google.com/file/d/1tLxI-vHJLofJTgl4nBE_uDVfj6WROkZA/view" TargetMode="External" Id="rId214"/><Relationship Type="http://schemas.openxmlformats.org/officeDocument/2006/relationships/hyperlink" Target="https://drive.google.com/file/d/1k5bsUvbpB36qmE5hXpmBcv3Ojm2AzWoj/view" TargetMode="External" Id="rId215"/><Relationship Type="http://schemas.openxmlformats.org/officeDocument/2006/relationships/hyperlink" Target="https://drive.google.com/file/d/1mhrvprzm3vFVzbEJoOCDxcXdgJX-WMUM/view" TargetMode="External" Id="rId216"/><Relationship Type="http://schemas.openxmlformats.org/officeDocument/2006/relationships/hyperlink" Target="https://drive.google.com/file/d/1k5bsUvbpB36qmE5hXpmBcv3Ojm2AzWoj/view" TargetMode="External" Id="rId217"/><Relationship Type="http://schemas.openxmlformats.org/officeDocument/2006/relationships/hyperlink" Target="https://drive.google.com/file/d/1mhrvprzm3vFVzbEJoOCDxcXdgJX-WMUM/view" TargetMode="External" Id="rId218"/><Relationship Type="http://schemas.openxmlformats.org/officeDocument/2006/relationships/hyperlink" Target="https://drive.google.com/file/d/1gsebImDr2Ug4Mc223JWP4mrptSx4s4zz/view" TargetMode="External" Id="rId219"/><Relationship Type="http://schemas.openxmlformats.org/officeDocument/2006/relationships/hyperlink" Target="https://drive.google.com/file/d/16J-rRtwXGZgi-JDW1D5MhnyOCWAcCoYn/view" TargetMode="External" Id="rId220"/><Relationship Type="http://schemas.openxmlformats.org/officeDocument/2006/relationships/hyperlink" Target="https://drive.google.com/file/d/1gsebImDr2Ug4Mc223JWP4mrptSx4s4zz/view" TargetMode="External" Id="rId221"/><Relationship Type="http://schemas.openxmlformats.org/officeDocument/2006/relationships/hyperlink" Target="https://drive.google.com/file/d/16J-rRtwXGZgi-JDW1D5MhnyOCWAcCoYn/view" TargetMode="External" Id="rId222"/><Relationship Type="http://schemas.openxmlformats.org/officeDocument/2006/relationships/hyperlink" Target="https://drive.google.com/file/d/1o_q6W3Kdbfaq__fOEJSu5wRSXAckrE7e/view" TargetMode="External" Id="rId223"/><Relationship Type="http://schemas.openxmlformats.org/officeDocument/2006/relationships/hyperlink" Target="https://drive.google.com/file/d/1gez4kBsIKTOeBbWS4ixlqF-3b5kXr-QU/view" TargetMode="External" Id="rId224"/><Relationship Type="http://schemas.openxmlformats.org/officeDocument/2006/relationships/hyperlink" Target="https://drive.google.com/file/d/1F46I_YMldcB4SLuaKAHMSGNcTp9WKQVA/view" TargetMode="External" Id="rId225"/><Relationship Type="http://schemas.openxmlformats.org/officeDocument/2006/relationships/hyperlink" Target="https://drive.google.com/file/d/1C2ciK31scWRWiRuyNMpBUZldNwuOCtgs/view" TargetMode="External" Id="rId226"/><Relationship Type="http://schemas.openxmlformats.org/officeDocument/2006/relationships/hyperlink" Target="https://drive.google.com/file/d/1gsebImDr2Ug4Mc223JWP4mrptSx4s4zz/view" TargetMode="External" Id="rId227"/><Relationship Type="http://schemas.openxmlformats.org/officeDocument/2006/relationships/hyperlink" Target="https://drive.google.com/file/d/16J-rRtwXGZgi-JDW1D5MhnyOCWAcCoYn/view" TargetMode="External" Id="rId228"/><Relationship Type="http://schemas.openxmlformats.org/officeDocument/2006/relationships/hyperlink" Target="https://drive.google.com/file/d/1vYt0reOS2KzdcFLpCBqKAIp1utqVchyP/view" TargetMode="External" Id="rId229"/><Relationship Type="http://schemas.openxmlformats.org/officeDocument/2006/relationships/hyperlink" Target="https://drive.google.com/file/d/1ttTCSL5OBkY2g5tIkhvXk8XXr-loX1Px/view" TargetMode="External" Id="rId230"/><Relationship Type="http://schemas.openxmlformats.org/officeDocument/2006/relationships/hyperlink" Target="https://drive.google.com/file/d/1w90Pi3Dys9oJjtmgo3kxxl0mB2KkNW7g/view" TargetMode="External" Id="rId231"/><Relationship Type="http://schemas.openxmlformats.org/officeDocument/2006/relationships/hyperlink" Target="https://drive.google.com/file/d/1c2qLGnWNrPREAKADHekWenVlbf_JUKbR/view" TargetMode="External" Id="rId232"/><Relationship Type="http://schemas.openxmlformats.org/officeDocument/2006/relationships/hyperlink" Target="https://drive.google.com/file/d/1w90Pi3Dys9oJjtmgo3kxxl0mB2KkNW7g/view" TargetMode="External" Id="rId233"/><Relationship Type="http://schemas.openxmlformats.org/officeDocument/2006/relationships/hyperlink" Target="https://drive.google.com/file/d/1c2qLGnWNrPREAKADHekWenVlbf_JUKbR/view" TargetMode="External" Id="rId234"/><Relationship Type="http://schemas.openxmlformats.org/officeDocument/2006/relationships/hyperlink" Target="https://drive.google.com/file/d/1gsebImDr2Ug4Mc223JWP4mrptSx4s4zz/view" TargetMode="External" Id="rId235"/><Relationship Type="http://schemas.openxmlformats.org/officeDocument/2006/relationships/hyperlink" Target="https://drive.google.com/file/d/16J-rRtwXGZgi-JDW1D5MhnyOCWAcCoYn/view" TargetMode="External" Id="rId236"/><Relationship Type="http://schemas.openxmlformats.org/officeDocument/2006/relationships/hyperlink" Target="https://drive.google.com/file/d/1STsUChg_qVkiFrDhwKQSVbz1HLfKjkEs/view" TargetMode="External" Id="rId237"/><Relationship Type="http://schemas.openxmlformats.org/officeDocument/2006/relationships/hyperlink" Target="https://drive.google.com/file/d/1tLxI-vHJLofJTgl4nBE_uDVfj6WROkZA/view" TargetMode="External" Id="rId238"/><Relationship Type="http://schemas.openxmlformats.org/officeDocument/2006/relationships/hyperlink" Target="https://drive.google.com/file/d/1-d3tVc0mIz-y4Ki04QSiLqzhQkmAmXOe/view" TargetMode="External" Id="rId239"/><Relationship Type="http://schemas.openxmlformats.org/officeDocument/2006/relationships/hyperlink" Target="https://drive.google.com/file/d/1DD2K_roGc8IbIGYyaZz0ZyRB3WkjQpx2/view" TargetMode="External" Id="rId240"/><Relationship Type="http://schemas.openxmlformats.org/officeDocument/2006/relationships/hyperlink" Target="https://drive.google.com/file/d/1gsebImDr2Ug4Mc223JWP4mrptSx4s4zz/view" TargetMode="External" Id="rId241"/><Relationship Type="http://schemas.openxmlformats.org/officeDocument/2006/relationships/hyperlink" Target="https://drive.google.com/file/d/16J-rRtwXGZgi-JDW1D5MhnyOCWAcCoYn/view" TargetMode="External" Id="rId242"/><Relationship Type="http://schemas.openxmlformats.org/officeDocument/2006/relationships/hyperlink" Target="https://drive.google.com/file/d/1pKYEMYHoClGk3TAyspK6vzCyn-txbQm4/view" TargetMode="External" Id="rId243"/><Relationship Type="http://schemas.openxmlformats.org/officeDocument/2006/relationships/hyperlink" Target="https://drive.google.com/file/d/10djoXv3Sw7hyY2ini0n216UBO4CeD2lA/view" TargetMode="External" Id="rId244"/><Relationship Type="http://schemas.openxmlformats.org/officeDocument/2006/relationships/hyperlink" Target="https://drive.google.com/file/d/17I0L3xr569bKEwubMaGBvTUyNrmrigGR/view" TargetMode="External" Id="rId245"/><Relationship Type="http://schemas.openxmlformats.org/officeDocument/2006/relationships/hyperlink" Target="https://drive.google.com/file/d/1N6ddOzzvzfaAeJjRPj7WSBgl3t6CNBO8/view" TargetMode="External" Id="rId246"/><Relationship Type="http://schemas.openxmlformats.org/officeDocument/2006/relationships/hyperlink" Target="https://drive.google.com/file/d/1-d3tVc0mIz-y4Ki04QSiLqzhQkmAmXOe/view" TargetMode="External" Id="rId247"/><Relationship Type="http://schemas.openxmlformats.org/officeDocument/2006/relationships/hyperlink" Target="https://drive.google.com/file/d/1DD2K_roGc8IbIGYyaZz0ZyRB3WkjQpx2/view" TargetMode="External" Id="rId248"/><Relationship Type="http://schemas.openxmlformats.org/officeDocument/2006/relationships/hyperlink" Target="https://drive.google.com/file/d/17I0L3xr569bKEwubMaGBvTUyNrmrigGR/view" TargetMode="External" Id="rId249"/><Relationship Type="http://schemas.openxmlformats.org/officeDocument/2006/relationships/hyperlink" Target="https://drive.google.com/file/d/1N6ddOzzvzfaAeJjRPj7WSBgl3t6CNBO8/view" TargetMode="External" Id="rId250"/><Relationship Type="http://schemas.openxmlformats.org/officeDocument/2006/relationships/hyperlink" Target="https://drive.google.com/file/d/1o_q6W3Kdbfaq__fOEJSu5wRSXAckrE7e/view" TargetMode="External" Id="rId251"/><Relationship Type="http://schemas.openxmlformats.org/officeDocument/2006/relationships/hyperlink" Target="https://drive.google.com/file/d/1gez4kBsIKTOeBbWS4ixlqF-3b5kXr-QU/view" TargetMode="External" Id="rId252"/><Relationship Type="http://schemas.openxmlformats.org/officeDocument/2006/relationships/hyperlink" Target="https://drive.google.com/file/d/1vYt0reOS2KzdcFLpCBqKAIp1utqVchyP/view" TargetMode="External" Id="rId253"/><Relationship Type="http://schemas.openxmlformats.org/officeDocument/2006/relationships/hyperlink" Target="https://drive.google.com/file/d/1ttTCSL5OBkY2g5tIkhvXk8XXr-loX1Px/view" TargetMode="External" Id="rId254"/><Relationship Type="http://schemas.openxmlformats.org/officeDocument/2006/relationships/hyperlink" Target="https://drive.google.com/file/d/1ZxksAPQKfahaG3BVU0dEDLWXl-S1sxBm/view" TargetMode="External" Id="rId255"/><Relationship Type="http://schemas.openxmlformats.org/officeDocument/2006/relationships/hyperlink" Target="https://drive.google.com/file/d/1gjHtmI14rEaHgISLtt57RkA_fz5G83yj/view" TargetMode="External" Id="rId256"/><Relationship Type="http://schemas.openxmlformats.org/officeDocument/2006/relationships/hyperlink" Target="https://drive.google.com/file/d/1w90Pi3Dys9oJjtmgo3kxxl0mB2KkNW7g/view" TargetMode="External" Id="rId257"/><Relationship Type="http://schemas.openxmlformats.org/officeDocument/2006/relationships/hyperlink" Target="https://drive.google.com/file/d/1c2qLGnWNrPREAKADHekWenVlbf_JUKbR/view" TargetMode="External" Id="rId258"/><Relationship Type="http://schemas.openxmlformats.org/officeDocument/2006/relationships/hyperlink" Target="https://drive.google.com/file/d/1QCNuMnon11nszQia48jrXARu_YAsBpEW/view" TargetMode="External" Id="rId259"/><Relationship Type="http://schemas.openxmlformats.org/officeDocument/2006/relationships/hyperlink" Target="https://drive.google.com/file/d/1C0uBfQecAszPuQXfu7r0lMuj7suIHc7B/view" TargetMode="External" Id="rId260"/><Relationship Type="http://schemas.openxmlformats.org/officeDocument/2006/relationships/hyperlink" Target="https://drive.google.com/file/d/1OtHrkBKNFYzokUsTYrOfFdxE5dV7aHzQ/view" TargetMode="External" Id="rId261"/><Relationship Type="http://schemas.openxmlformats.org/officeDocument/2006/relationships/hyperlink" Target="https://drive.google.com/file/d/1qdUHA5r45lnt72MAlEmEVL08_OHGcYh_/view" TargetMode="External" Id="rId262"/><Relationship Type="http://schemas.openxmlformats.org/officeDocument/2006/relationships/hyperlink" Target="https://drive.google.com/file/d/1O86AohKoj20CXKRPJbzDx0eiN6e3ahSt/view" TargetMode="External" Id="rId263"/><Relationship Type="http://schemas.openxmlformats.org/officeDocument/2006/relationships/hyperlink" Target="https://drive.google.com/file/d/1V3YkuYiQ3qqQ0dh74YnpqW4NHvoOUrdh/view" TargetMode="External" Id="rId264"/><Relationship Type="http://schemas.openxmlformats.org/officeDocument/2006/relationships/hyperlink" Target="https://drive.google.com/file/d/1o_q6W3Kdbfaq__fOEJSu5wRSXAckrE7e/view" TargetMode="External" Id="rId265"/><Relationship Type="http://schemas.openxmlformats.org/officeDocument/2006/relationships/hyperlink" Target="https://drive.google.com/file/d/1gez4kBsIKTOeBbWS4ixlqF-3b5kXr-QU/view" TargetMode="External" Id="rId266"/><Relationship Type="http://schemas.openxmlformats.org/officeDocument/2006/relationships/hyperlink" Target="https://drive.google.com/file/d/18mXXTGPnEnJzRjhga8cfj2gGffdBwe-O/view" TargetMode="External" Id="rId267"/><Relationship Type="http://schemas.openxmlformats.org/officeDocument/2006/relationships/hyperlink" Target="https://drive.google.com/file/d/1V8e4v3Hyr9-8K3blbURE0uwWGEulTJUg/view" TargetMode="External" Id="rId268"/><Relationship Type="http://schemas.openxmlformats.org/officeDocument/2006/relationships/hyperlink" Target="https://drive.google.com/file/d/1D0o1_a45mbioxq_Xorjnx1__OLqPDEkg/view" TargetMode="External" Id="rId269"/><Relationship Type="http://schemas.openxmlformats.org/officeDocument/2006/relationships/hyperlink" Target="https://drive.google.com/file/d/1NxNoFq4XNHFkBSM-erz0URh6Ad6wQyiX/view" TargetMode="External" Id="rId270"/><Relationship Type="http://schemas.openxmlformats.org/officeDocument/2006/relationships/hyperlink" Target="https://drive.google.com/file/d/1vYt0reOS2KzdcFLpCBqKAIp1utqVchyP/view" TargetMode="External" Id="rId271"/><Relationship Type="http://schemas.openxmlformats.org/officeDocument/2006/relationships/hyperlink" Target="https://drive.google.com/file/d/1ttTCSL5OBkY2g5tIkhvXk8XXr-loX1Px/view" TargetMode="External" Id="rId272"/><Relationship Type="http://schemas.openxmlformats.org/officeDocument/2006/relationships/hyperlink" Target="https://drive.google.com/file/d/1lF-9KUXzO_HqPqyTFmeIJG8EBEIDadUH/view" TargetMode="External" Id="rId273"/><Relationship Type="http://schemas.openxmlformats.org/officeDocument/2006/relationships/hyperlink" Target="https://drive.google.com/file/d/1l1UZ3YlmwKOaRUjBPw1rZo1eeMykiBfp/view" TargetMode="External" Id="rId274"/><Relationship Type="http://schemas.openxmlformats.org/officeDocument/2006/relationships/hyperlink" Target="https://drive.google.com/file/d/1-d3tVc0mIz-y4Ki04QSiLqzhQkmAmXOe/view" TargetMode="External" Id="rId275"/><Relationship Type="http://schemas.openxmlformats.org/officeDocument/2006/relationships/hyperlink" Target="https://drive.google.com/file/d/1DD2K_roGc8IbIGYyaZz0ZyRB3WkjQpx2/view" TargetMode="External" Id="rId276"/><Relationship Type="http://schemas.openxmlformats.org/officeDocument/2006/relationships/hyperlink" Target="https://drive.google.com/file/d/1-d3tVc0mIz-y4Ki04QSiLqzhQkmAmXOe/view" TargetMode="External" Id="rId277"/><Relationship Type="http://schemas.openxmlformats.org/officeDocument/2006/relationships/hyperlink" Target="https://drive.google.com/file/d/1DD2K_roGc8IbIGYyaZz0ZyRB3WkjQpx2/view" TargetMode="External" Id="rId278"/><Relationship Type="http://schemas.openxmlformats.org/officeDocument/2006/relationships/hyperlink" Target="https://drive.google.com/file/d/1-d3tVc0mIz-y4Ki04QSiLqzhQkmAmXOe/view" TargetMode="External" Id="rId279"/><Relationship Type="http://schemas.openxmlformats.org/officeDocument/2006/relationships/hyperlink" Target="https://drive.google.com/file/d/1DD2K_roGc8IbIGYyaZz0ZyRB3WkjQpx2/view" TargetMode="External" Id="rId280"/><Relationship Type="http://schemas.openxmlformats.org/officeDocument/2006/relationships/hyperlink" Target="https://drive.google.com/file/d/1gsebImDr2Ug4Mc223JWP4mrptSx4s4zz/view" TargetMode="External" Id="rId281"/><Relationship Type="http://schemas.openxmlformats.org/officeDocument/2006/relationships/hyperlink" Target="https://drive.google.com/file/d/16J-rRtwXGZgi-JDW1D5MhnyOCWAcCoYn/view" TargetMode="External" Id="rId282"/><Relationship Type="http://schemas.openxmlformats.org/officeDocument/2006/relationships/hyperlink" Target="https://drive.google.com/file/d/1gsebImDr2Ug4Mc223JWP4mrptSx4s4zz/view" TargetMode="External" Id="rId283"/><Relationship Type="http://schemas.openxmlformats.org/officeDocument/2006/relationships/hyperlink" Target="https://drive.google.com/file/d/16J-rRtwXGZgi-JDW1D5MhnyOCWAcCoYn/view" TargetMode="External" Id="rId284"/><Relationship Type="http://schemas.openxmlformats.org/officeDocument/2006/relationships/hyperlink" Target="https://drive.google.com/file/d/1-d3tVc0mIz-y4Ki04QSiLqzhQkmAmXOe/view" TargetMode="External" Id="rId285"/><Relationship Type="http://schemas.openxmlformats.org/officeDocument/2006/relationships/hyperlink" Target="https://drive.google.com/file/d/1DD2K_roGc8IbIGYyaZz0ZyRB3WkjQpx2/view" TargetMode="External" Id="rId286"/><Relationship Type="http://schemas.openxmlformats.org/officeDocument/2006/relationships/hyperlink" Target="https://drive.google.com/file/d/1ZxksAPQKfahaG3BVU0dEDLWXl-S1sxBm/view" TargetMode="External" Id="rId287"/><Relationship Type="http://schemas.openxmlformats.org/officeDocument/2006/relationships/hyperlink" Target="https://drive.google.com/file/d/1gjHtmI14rEaHgISLtt57RkA_fz5G83yj/view" TargetMode="External" Id="rId288"/><Relationship Type="http://schemas.openxmlformats.org/officeDocument/2006/relationships/hyperlink" Target="https://drive.google.com/file/d/1QCNuMnon11nszQia48jrXARu_YAsBpEW/view" TargetMode="External" Id="rId289"/><Relationship Type="http://schemas.openxmlformats.org/officeDocument/2006/relationships/hyperlink" Target="https://drive.google.com/file/d/1C0uBfQecAszPuQXfu7r0lMuj7suIHc7B/view" TargetMode="External" Id="rId290"/><Relationship Type="http://schemas.openxmlformats.org/officeDocument/2006/relationships/hyperlink" Target="https://drive.google.com/file/d/1GhcKOCaU3-AxT_XoCK9d5EON5iZCVvgk/view" TargetMode="External" Id="rId291"/><Relationship Type="http://schemas.openxmlformats.org/officeDocument/2006/relationships/hyperlink" Target="https://drive.google.com/file/d/1O7P_RZB9cbWL8MSGmEla_T4IKsJQef3k/view" TargetMode="External" Id="rId292"/><Relationship Type="http://schemas.openxmlformats.org/officeDocument/2006/relationships/hyperlink" Target="https://drive.google.com/file/d/1F46I_YMldcB4SLuaKAHMSGNcTp9WKQVA/view" TargetMode="External" Id="rId293"/><Relationship Type="http://schemas.openxmlformats.org/officeDocument/2006/relationships/hyperlink" Target="https://drive.google.com/file/d/1C2ciK31scWRWiRuyNMpBUZldNwuOCtgs/view" TargetMode="External" Id="rId294"/><Relationship Type="http://schemas.openxmlformats.org/officeDocument/2006/relationships/hyperlink" Target="https://drive.google.com/file/d/1o_q6W3Kdbfaq__fOEJSu5wRSXAckrE7e/view" TargetMode="External" Id="rId295"/><Relationship Type="http://schemas.openxmlformats.org/officeDocument/2006/relationships/hyperlink" Target="https://drive.google.com/file/d/1gez4kBsIKTOeBbWS4ixlqF-3b5kXr-QU/view" TargetMode="External" Id="rId296"/><Relationship Type="http://schemas.openxmlformats.org/officeDocument/2006/relationships/hyperlink" Target="https://drive.google.com/file/d/1STsUChg_qVkiFrDhwKQSVbz1HLfKjkEs/view" TargetMode="External" Id="rId297"/><Relationship Type="http://schemas.openxmlformats.org/officeDocument/2006/relationships/hyperlink" Target="https://drive.google.com/file/d/1tLxI-vHJLofJTgl4nBE_uDVfj6WROkZA/view" TargetMode="External" Id="rId298"/><Relationship Type="http://schemas.openxmlformats.org/officeDocument/2006/relationships/hyperlink" Target="https://drive.google.com/file/d/1w90Pi3Dys9oJjtmgo3kxxl0mB2KkNW7g/view" TargetMode="External" Id="rId299"/><Relationship Type="http://schemas.openxmlformats.org/officeDocument/2006/relationships/hyperlink" Target="https://drive.google.com/file/d/1c2qLGnWNrPREAKADHekWenVlbf_JUKbR/view" TargetMode="External" Id="rId300"/><Relationship Type="http://schemas.openxmlformats.org/officeDocument/2006/relationships/hyperlink" Target="https://drive.google.com/file/d/1lF-9KUXzO_HqPqyTFmeIJG8EBEIDadUH/view" TargetMode="External" Id="rId301"/><Relationship Type="http://schemas.openxmlformats.org/officeDocument/2006/relationships/hyperlink" Target="https://drive.google.com/file/d/1l1UZ3YlmwKOaRUjBPw1rZo1eeMykiBfp/view" TargetMode="External" Id="rId302"/><Relationship Type="http://schemas.openxmlformats.org/officeDocument/2006/relationships/hyperlink" Target="https://drive.google.com/file/d/1O86AohKoj20CXKRPJbzDx0eiN6e3ahSt/view" TargetMode="External" Id="rId303"/><Relationship Type="http://schemas.openxmlformats.org/officeDocument/2006/relationships/hyperlink" Target="https://drive.google.com/file/d/1V3YkuYiQ3qqQ0dh74YnpqW4NHvoOUrdh/view" TargetMode="External" Id="rId304"/><Relationship Type="http://schemas.openxmlformats.org/officeDocument/2006/relationships/hyperlink" Target="https://drive.google.com/file/d/1OtHrkBKNFYzokUsTYrOfFdxE5dV7aHzQ/view" TargetMode="External" Id="rId305"/><Relationship Type="http://schemas.openxmlformats.org/officeDocument/2006/relationships/hyperlink" Target="https://drive.google.com/file/d/1qdUHA5r45lnt72MAlEmEVL08_OHGcYh_/view" TargetMode="External" Id="rId306"/><Relationship Type="http://schemas.openxmlformats.org/officeDocument/2006/relationships/hyperlink" Target="https://drive.google.com/file/d/1D0o1_a45mbioxq_Xorjnx1__OLqPDEkg/view" TargetMode="External" Id="rId307"/><Relationship Type="http://schemas.openxmlformats.org/officeDocument/2006/relationships/hyperlink" Target="https://drive.google.com/file/d/1NxNoFq4XNHFkBSM-erz0URh6Ad6wQyiX/view" TargetMode="External" Id="rId308"/><Relationship Type="http://schemas.openxmlformats.org/officeDocument/2006/relationships/hyperlink" Target="https://drive.google.com/file/d/17I0L3xr569bKEwubMaGBvTUyNrmrigGR/view" TargetMode="External" Id="rId309"/><Relationship Type="http://schemas.openxmlformats.org/officeDocument/2006/relationships/hyperlink" Target="https://drive.google.com/file/d/1N6ddOzzvzfaAeJjRPj7WSBgl3t6CNBO8/view" TargetMode="External" Id="rId310"/><Relationship Type="http://schemas.openxmlformats.org/officeDocument/2006/relationships/hyperlink" Target="https://drive.google.com/file/d/1gsebImDr2Ug4Mc223JWP4mrptSx4s4zz/view" TargetMode="External" Id="rId311"/><Relationship Type="http://schemas.openxmlformats.org/officeDocument/2006/relationships/hyperlink" Target="https://drive.google.com/file/d/16J-rRtwXGZgi-JDW1D5MhnyOCWAcCoYn/view" TargetMode="External" Id="rId312"/><Relationship Type="http://schemas.openxmlformats.org/officeDocument/2006/relationships/hyperlink" Target="https://drive.google.com/file/d/1-d3tVc0mIz-y4Ki04QSiLqzhQkmAmXOe/view" TargetMode="External" Id="rId313"/><Relationship Type="http://schemas.openxmlformats.org/officeDocument/2006/relationships/hyperlink" Target="https://drive.google.com/file/d/1DD2K_roGc8IbIGYyaZz0ZyRB3WkjQpx2/view" TargetMode="External" Id="rId314"/><Relationship Type="http://schemas.openxmlformats.org/officeDocument/2006/relationships/hyperlink" Target="https://drive.google.com/file/d/17I0L3xr569bKEwubMaGBvTUyNrmrigGR/view" TargetMode="External" Id="rId315"/><Relationship Type="http://schemas.openxmlformats.org/officeDocument/2006/relationships/hyperlink" Target="https://drive.google.com/file/d/1N6ddOzzvzfaAeJjRPj7WSBgl3t6CNBO8/view" TargetMode="External" Id="rId316"/><Relationship Type="http://schemas.openxmlformats.org/officeDocument/2006/relationships/hyperlink" Target="https://drive.google.com/file/d/1lF-9KUXzO_HqPqyTFmeIJG8EBEIDadUH/view" TargetMode="External" Id="rId317"/><Relationship Type="http://schemas.openxmlformats.org/officeDocument/2006/relationships/hyperlink" Target="https://drive.google.com/file/d/1l1UZ3YlmwKOaRUjBPw1rZo1eeMykiBfp/view" TargetMode="External" Id="rId318"/><Relationship Type="http://schemas.openxmlformats.org/officeDocument/2006/relationships/hyperlink" Target="https://drive.google.com/file/d/1STsUChg_qVkiFrDhwKQSVbz1HLfKjkEs/view" TargetMode="External" Id="rId319"/><Relationship Type="http://schemas.openxmlformats.org/officeDocument/2006/relationships/hyperlink" Target="https://drive.google.com/file/d/1tLxI-vHJLofJTgl4nBE_uDVfj6WROkZA/view" TargetMode="External" Id="rId320"/><Relationship Type="http://schemas.openxmlformats.org/officeDocument/2006/relationships/hyperlink" Target="https://drive.google.com/file/d/1QCNuMnon11nszQia48jrXARu_YAsBpEW/view" TargetMode="External" Id="rId321"/><Relationship Type="http://schemas.openxmlformats.org/officeDocument/2006/relationships/hyperlink" Target="https://drive.google.com/file/d/1C0uBfQecAszPuQXfu7r0lMuj7suIHc7B/view" TargetMode="External" Id="rId322"/><Relationship Type="http://schemas.openxmlformats.org/officeDocument/2006/relationships/hyperlink" Target="https://drive.google.com/file/d/1GhcKOCaU3-AxT_XoCK9d5EON5iZCVvgk/view" TargetMode="External" Id="rId323"/><Relationship Type="http://schemas.openxmlformats.org/officeDocument/2006/relationships/hyperlink" Target="https://drive.google.com/file/d/1O7P_RZB9cbWL8MSGmEla_T4IKsJQef3k/view" TargetMode="External" Id="rId324"/><Relationship Type="http://schemas.openxmlformats.org/officeDocument/2006/relationships/hyperlink" Target="https://drive.google.com/file/d/1-d3tVc0mIz-y4Ki04QSiLqzhQkmAmXOe/view" TargetMode="External" Id="rId325"/><Relationship Type="http://schemas.openxmlformats.org/officeDocument/2006/relationships/hyperlink" Target="https://drive.google.com/file/d/1DD2K_roGc8IbIGYyaZz0ZyRB3WkjQpx2/view" TargetMode="External" Id="rId326"/><Relationship Type="http://schemas.openxmlformats.org/officeDocument/2006/relationships/hyperlink" Target="https://drive.google.com/file/d/1gsebImDr2Ug4Mc223JWP4mrptSx4s4zz/view" TargetMode="External" Id="rId327"/><Relationship Type="http://schemas.openxmlformats.org/officeDocument/2006/relationships/hyperlink" Target="https://drive.google.com/file/d/16J-rRtwXGZgi-JDW1D5MhnyOCWAcCoYn/view" TargetMode="External" Id="rId328"/><Relationship Type="http://schemas.openxmlformats.org/officeDocument/2006/relationships/hyperlink" Target="https://drive.google.com/file/d/1gsebImDr2Ug4Mc223JWP4mrptSx4s4zz/view" TargetMode="External" Id="rId329"/><Relationship Type="http://schemas.openxmlformats.org/officeDocument/2006/relationships/hyperlink" Target="https://drive.google.com/file/d/16J-rRtwXGZgi-JDW1D5MhnyOCWAcCoYn/view" TargetMode="External" Id="rId330"/><Relationship Type="http://schemas.openxmlformats.org/officeDocument/2006/relationships/hyperlink" Target="https://drive.google.com/file/d/1pKYEMYHoClGk3TAyspK6vzCyn-txbQm4/view" TargetMode="External" Id="rId331"/><Relationship Type="http://schemas.openxmlformats.org/officeDocument/2006/relationships/hyperlink" Target="https://drive.google.com/file/d/10djoXv3Sw7hyY2ini0n216UBO4CeD2lA/view" TargetMode="External" Id="rId332"/><Relationship Type="http://schemas.openxmlformats.org/officeDocument/2006/relationships/hyperlink" Target="https://drive.google.com/file/d/1D0o1_a45mbioxq_Xorjnx1__OLqPDEkg/view" TargetMode="External" Id="rId333"/><Relationship Type="http://schemas.openxmlformats.org/officeDocument/2006/relationships/hyperlink" Target="https://drive.google.com/file/d/1NxNoFq4XNHFkBSM-erz0URh6Ad6wQyiX/view" TargetMode="External" Id="rId334"/><Relationship Type="http://schemas.openxmlformats.org/officeDocument/2006/relationships/hyperlink" Target="https://drive.google.com/file/d/1gsebImDr2Ug4Mc223JWP4mrptSx4s4zz/view" TargetMode="External" Id="rId335"/><Relationship Type="http://schemas.openxmlformats.org/officeDocument/2006/relationships/hyperlink" Target="https://drive.google.com/file/d/16J-rRtwXGZgi-JDW1D5MhnyOCWAcCoYn/view" TargetMode="External" Id="rId336"/><Relationship Type="http://schemas.openxmlformats.org/officeDocument/2006/relationships/hyperlink" Target="https://drive.google.com/file/d/1pKYEMYHoClGk3TAyspK6vzCyn-txbQm4/view" TargetMode="External" Id="rId337"/><Relationship Type="http://schemas.openxmlformats.org/officeDocument/2006/relationships/hyperlink" Target="https://drive.google.com/file/d/10djoXv3Sw7hyY2ini0n216UBO4CeD2lA/view" TargetMode="External" Id="rId338"/><Relationship Type="http://schemas.openxmlformats.org/officeDocument/2006/relationships/hyperlink" Target="https://drive.google.com/file/d/1pKYEMYHoClGk3TAyspK6vzCyn-txbQm4/view" TargetMode="External" Id="rId339"/><Relationship Type="http://schemas.openxmlformats.org/officeDocument/2006/relationships/hyperlink" Target="https://drive.google.com/file/d/10djoXv3Sw7hyY2ini0n216UBO4CeD2lA/view" TargetMode="External" Id="rId340"/><Relationship Type="http://schemas.openxmlformats.org/officeDocument/2006/relationships/hyperlink" Target="https://drive.google.com/file/d/1pKYEMYHoClGk3TAyspK6vzCyn-txbQm4/view" TargetMode="External" Id="rId341"/><Relationship Type="http://schemas.openxmlformats.org/officeDocument/2006/relationships/hyperlink" Target="https://drive.google.com/file/d/10djoXv3Sw7hyY2ini0n216UBO4CeD2lA/view" TargetMode="External" Id="rId342"/><Relationship Type="http://schemas.openxmlformats.org/officeDocument/2006/relationships/hyperlink" Target="https://drive.google.com/file/d/1vYt0reOS2KzdcFLpCBqKAIp1utqVchyP/view" TargetMode="External" Id="rId343"/><Relationship Type="http://schemas.openxmlformats.org/officeDocument/2006/relationships/hyperlink" Target="https://drive.google.com/file/d/1ttTCSL5OBkY2g5tIkhvXk8XXr-loX1Px/view" TargetMode="External" Id="rId344"/><Relationship Type="http://schemas.openxmlformats.org/officeDocument/2006/relationships/hyperlink" Target="https://drive.google.com/file/d/1pKYEMYHoClGk3TAyspK6vzCyn-txbQm4/view" TargetMode="External" Id="rId345"/><Relationship Type="http://schemas.openxmlformats.org/officeDocument/2006/relationships/hyperlink" Target="https://drive.google.com/file/d/10djoXv3Sw7hyY2ini0n216UBO4CeD2lA/view" TargetMode="External" Id="rId346"/><Relationship Type="http://schemas.openxmlformats.org/officeDocument/2006/relationships/hyperlink" Target="https://drive.google.com/file/d/1gsebImDr2Ug4Mc223JWP4mrptSx4s4zz/view" TargetMode="External" Id="rId347"/><Relationship Type="http://schemas.openxmlformats.org/officeDocument/2006/relationships/hyperlink" Target="https://drive.google.com/file/d/16J-rRtwXGZgi-JDW1D5MhnyOCWAcCoYn/view" TargetMode="External" Id="rId348"/><Relationship Type="http://schemas.openxmlformats.org/officeDocument/2006/relationships/hyperlink" Target="https://drive.google.com/file/d/1vYt0reOS2KzdcFLpCBqKAIp1utqVchyP/view" TargetMode="External" Id="rId349"/><Relationship Type="http://schemas.openxmlformats.org/officeDocument/2006/relationships/hyperlink" Target="https://drive.google.com/file/d/1ttTCSL5OBkY2g5tIkhvXk8XXr-loX1Px/view" TargetMode="External" Id="rId350"/><Relationship Type="http://schemas.openxmlformats.org/officeDocument/2006/relationships/hyperlink" Target="https://drive.google.com/file/d/1o_q6W3Kdbfaq__fOEJSu5wRSXAckrE7e/view" TargetMode="External" Id="rId351"/><Relationship Type="http://schemas.openxmlformats.org/officeDocument/2006/relationships/hyperlink" Target="https://drive.google.com/file/d/1gez4kBsIKTOeBbWS4ixlqF-3b5kXr-QU/view" TargetMode="External" Id="rId352"/><Relationship Type="http://schemas.openxmlformats.org/officeDocument/2006/relationships/hyperlink" Target="https://drive.google.com/file/d/1GhcKOCaU3-AxT_XoCK9d5EON5iZCVvgk/view" TargetMode="External" Id="rId353"/><Relationship Type="http://schemas.openxmlformats.org/officeDocument/2006/relationships/hyperlink" Target="https://drive.google.com/file/d/1O7P_RZB9cbWL8MSGmEla_T4IKsJQef3k/view" TargetMode="External" Id="rId354"/><Relationship Type="http://schemas.openxmlformats.org/officeDocument/2006/relationships/hyperlink" Target="https://drive.google.com/file/d/1ZxksAPQKfahaG3BVU0dEDLWXl-S1sxBm/view" TargetMode="External" Id="rId355"/><Relationship Type="http://schemas.openxmlformats.org/officeDocument/2006/relationships/hyperlink" Target="https://drive.google.com/file/d/1gjHtmI14rEaHgISLtt57RkA_fz5G83yj/view" TargetMode="External" Id="rId356"/><Relationship Type="http://schemas.openxmlformats.org/officeDocument/2006/relationships/hyperlink" Target="https://drive.google.com/file/d/1QCNuMnon11nszQia48jrXARu_YAsBpEW/view" TargetMode="External" Id="rId357"/><Relationship Type="http://schemas.openxmlformats.org/officeDocument/2006/relationships/hyperlink" Target="https://drive.google.com/file/d/1C0uBfQecAszPuQXfu7r0lMuj7suIHc7B/view" TargetMode="External" Id="rId358"/><Relationship Type="http://schemas.openxmlformats.org/officeDocument/2006/relationships/hyperlink" Target="https://drive.google.com/file/d/1lF-9KUXzO_HqPqyTFmeIJG8EBEIDadUH/view" TargetMode="External" Id="rId359"/><Relationship Type="http://schemas.openxmlformats.org/officeDocument/2006/relationships/hyperlink" Target="https://drive.google.com/file/d/1l1UZ3YlmwKOaRUjBPw1rZo1eeMykiBfp/view" TargetMode="External" Id="rId360"/><Relationship Type="http://schemas.openxmlformats.org/officeDocument/2006/relationships/hyperlink" Target="https://drive.google.com/file/d/1pKYEMYHoClGk3TAyspK6vzCyn-txbQm4/view" TargetMode="External" Id="rId361"/><Relationship Type="http://schemas.openxmlformats.org/officeDocument/2006/relationships/hyperlink" Target="https://drive.google.com/file/d/10djoXv3Sw7hyY2ini0n216UBO4CeD2lA/view" TargetMode="External" Id="rId362"/><Relationship Type="http://schemas.openxmlformats.org/officeDocument/2006/relationships/hyperlink" Target="https://drive.google.com/file/d/1k5bsUvbpB36qmE5hXpmBcv3Ojm2AzWoj/view" TargetMode="External" Id="rId363"/><Relationship Type="http://schemas.openxmlformats.org/officeDocument/2006/relationships/hyperlink" Target="https://drive.google.com/file/d/1mhrvprzm3vFVzbEJoOCDxcXdgJX-WMUM/view" TargetMode="External" Id="rId364"/><Relationship Type="http://schemas.openxmlformats.org/officeDocument/2006/relationships/hyperlink" Target="https://drive.google.com/file/d/1gsebImDr2Ug4Mc223JWP4mrptSx4s4zz/view" TargetMode="External" Id="rId365"/><Relationship Type="http://schemas.openxmlformats.org/officeDocument/2006/relationships/hyperlink" Target="https://drive.google.com/file/d/16J-rRtwXGZgi-JDW1D5MhnyOCWAcCoYn/view" TargetMode="External" Id="rId366"/><Relationship Type="http://schemas.openxmlformats.org/officeDocument/2006/relationships/hyperlink" Target="https://drive.google.com/file/d/1k5bsUvbpB36qmE5hXpmBcv3Ojm2AzWoj/view" TargetMode="External" Id="rId367"/><Relationship Type="http://schemas.openxmlformats.org/officeDocument/2006/relationships/hyperlink" Target="https://drive.google.com/file/d/1mhrvprzm3vFVzbEJoOCDxcXdgJX-WMUM/view" TargetMode="External" Id="rId368"/><Relationship Type="http://schemas.openxmlformats.org/officeDocument/2006/relationships/hyperlink" Target="https://drive.google.com/file/d/1-d3tVc0mIz-y4Ki04QSiLqzhQkmAmXOe/view" TargetMode="External" Id="rId369"/><Relationship Type="http://schemas.openxmlformats.org/officeDocument/2006/relationships/hyperlink" Target="https://drive.google.com/file/d/1DD2K_roGc8IbIGYyaZz0ZyRB3WkjQpx2/view" TargetMode="External" Id="rId370"/><Relationship Type="http://schemas.openxmlformats.org/officeDocument/2006/relationships/hyperlink" Target="https://drive.google.com/file/d/17I0L3xr569bKEwubMaGBvTUyNrmrigGR/view" TargetMode="External" Id="rId371"/><Relationship Type="http://schemas.openxmlformats.org/officeDocument/2006/relationships/hyperlink" Target="https://drive.google.com/file/d/1N6ddOzzvzfaAeJjRPj7WSBgl3t6CNBO8/view" TargetMode="External" Id="rId372"/><Relationship Type="http://schemas.openxmlformats.org/officeDocument/2006/relationships/hyperlink" Target="https://drive.google.com/file/d/1gsebImDr2Ug4Mc223JWP4mrptSx4s4zz/view" TargetMode="External" Id="rId373"/><Relationship Type="http://schemas.openxmlformats.org/officeDocument/2006/relationships/hyperlink" Target="https://drive.google.com/file/d/16J-rRtwXGZgi-JDW1D5MhnyOCWAcCoYn/view" TargetMode="External" Id="rId374"/><Relationship Type="http://schemas.openxmlformats.org/officeDocument/2006/relationships/hyperlink" Target="https://drive.google.com/file/d/1D0o1_a45mbioxq_Xorjnx1__OLqPDEkg/view" TargetMode="External" Id="rId375"/><Relationship Type="http://schemas.openxmlformats.org/officeDocument/2006/relationships/hyperlink" Target="https://drive.google.com/file/d/1NxNoFq4XNHFkBSM-erz0URh6Ad6wQyiX/view" TargetMode="External" Id="rId376"/><Relationship Type="http://schemas.openxmlformats.org/officeDocument/2006/relationships/hyperlink" Target="https://drive.google.com/file/d/1-d3tVc0mIz-y4Ki04QSiLqzhQkmAmXOe/view" TargetMode="External" Id="rId377"/><Relationship Type="http://schemas.openxmlformats.org/officeDocument/2006/relationships/hyperlink" Target="https://drive.google.com/file/d/1DD2K_roGc8IbIGYyaZz0ZyRB3WkjQpx2/view" TargetMode="External" Id="rId378"/><Relationship Type="http://schemas.openxmlformats.org/officeDocument/2006/relationships/hyperlink" Target="https://drive.google.com/file/d/1gsebImDr2Ug4Mc223JWP4mrptSx4s4zz/view" TargetMode="External" Id="rId379"/><Relationship Type="http://schemas.openxmlformats.org/officeDocument/2006/relationships/hyperlink" Target="https://drive.google.com/file/d/16J-rRtwXGZgi-JDW1D5MhnyOCWAcCoYn/view" TargetMode="External" Id="rId380"/><Relationship Type="http://schemas.openxmlformats.org/officeDocument/2006/relationships/hyperlink" Target="https://drive.google.com/file/d/1QCNuMnon11nszQia48jrXARu_YAsBpEW/view" TargetMode="External" Id="rId381"/><Relationship Type="http://schemas.openxmlformats.org/officeDocument/2006/relationships/hyperlink" Target="https://drive.google.com/file/d/1C0uBfQecAszPuQXfu7r0lMuj7suIHc7B/view" TargetMode="External" Id="rId382"/><Relationship Type="http://schemas.openxmlformats.org/officeDocument/2006/relationships/hyperlink" Target="https://drive.google.com/file/d/1vYt0reOS2KzdcFLpCBqKAIp1utqVchyP/view" TargetMode="External" Id="rId383"/><Relationship Type="http://schemas.openxmlformats.org/officeDocument/2006/relationships/hyperlink" Target="https://drive.google.com/file/d/1ttTCSL5OBkY2g5tIkhvXk8XXr-loX1Px/view" TargetMode="External" Id="rId384"/><Relationship Type="http://schemas.openxmlformats.org/officeDocument/2006/relationships/hyperlink" Target="https://drive.google.com/file/d/17I0L3xr569bKEwubMaGBvTUyNrmrigGR/view" TargetMode="External" Id="rId385"/><Relationship Type="http://schemas.openxmlformats.org/officeDocument/2006/relationships/hyperlink" Target="https://drive.google.com/file/d/1N6ddOzzvzfaAeJjRPj7WSBgl3t6CNBO8/view" TargetMode="External" Id="rId386"/><Relationship Type="http://schemas.openxmlformats.org/officeDocument/2006/relationships/hyperlink" Target="https://drive.google.com/file/d/1-d3tVc0mIz-y4Ki04QSiLqzhQkmAmXOe/view" TargetMode="External" Id="rId387"/><Relationship Type="http://schemas.openxmlformats.org/officeDocument/2006/relationships/hyperlink" Target="https://drive.google.com/file/d/1DD2K_roGc8IbIGYyaZz0ZyRB3WkjQpx2/view" TargetMode="External" Id="rId388"/><Relationship Type="http://schemas.openxmlformats.org/officeDocument/2006/relationships/hyperlink" Target="https://drive.google.com/file/d/1w90Pi3Dys9oJjtmgo3kxxl0mB2KkNW7g/view" TargetMode="External" Id="rId389"/><Relationship Type="http://schemas.openxmlformats.org/officeDocument/2006/relationships/hyperlink" Target="https://drive.google.com/file/d/1c2qLGnWNrPREAKADHekWenVlbf_JUKbR/view" TargetMode="External" Id="rId390"/><Relationship Type="http://schemas.openxmlformats.org/officeDocument/2006/relationships/hyperlink" Target="https://drive.google.com/file/d/17I0L3xr569bKEwubMaGBvTUyNrmrigGR/view" TargetMode="External" Id="rId391"/><Relationship Type="http://schemas.openxmlformats.org/officeDocument/2006/relationships/hyperlink" Target="https://drive.google.com/file/d/1N6ddOzzvzfaAeJjRPj7WSBgl3t6CNBO8/view" TargetMode="External" Id="rId392"/><Relationship Type="http://schemas.openxmlformats.org/officeDocument/2006/relationships/hyperlink" Target="https://drive.google.com/file/d/1gsebImDr2Ug4Mc223JWP4mrptSx4s4zz/view" TargetMode="External" Id="rId393"/><Relationship Type="http://schemas.openxmlformats.org/officeDocument/2006/relationships/hyperlink" Target="https://drive.google.com/file/d/16J-rRtwXGZgi-JDW1D5MhnyOCWAcCoYn/view" TargetMode="External" Id="rId394"/><Relationship Type="http://schemas.openxmlformats.org/officeDocument/2006/relationships/hyperlink" Target="https://drive.google.com/file/d/1gsebImDr2Ug4Mc223JWP4mrptSx4s4zz/view" TargetMode="External" Id="rId395"/><Relationship Type="http://schemas.openxmlformats.org/officeDocument/2006/relationships/hyperlink" Target="https://drive.google.com/file/d/16J-rRtwXGZgi-JDW1D5MhnyOCWAcCoYn/view" TargetMode="External" Id="rId396"/><Relationship Type="http://schemas.openxmlformats.org/officeDocument/2006/relationships/hyperlink" Target="https://drive.google.com/file/d/1vYt0reOS2KzdcFLpCBqKAIp1utqVchyP/view" TargetMode="External" Id="rId397"/><Relationship Type="http://schemas.openxmlformats.org/officeDocument/2006/relationships/hyperlink" Target="https://drive.google.com/file/d/1ttTCSL5OBkY2g5tIkhvXk8XXr-loX1Px/view" TargetMode="External" Id="rId398"/><Relationship Type="http://schemas.openxmlformats.org/officeDocument/2006/relationships/hyperlink" Target="https://drive.google.com/file/d/1gsebImDr2Ug4Mc223JWP4mrptSx4s4zz/view" TargetMode="External" Id="rId399"/><Relationship Type="http://schemas.openxmlformats.org/officeDocument/2006/relationships/hyperlink" Target="https://drive.google.com/file/d/16J-rRtwXGZgi-JDW1D5MhnyOCWAcCoYn/view" TargetMode="External" Id="rId400"/><Relationship Type="http://schemas.openxmlformats.org/officeDocument/2006/relationships/hyperlink" Target="https://drive.google.com/file/d/1-d3tVc0mIz-y4Ki04QSiLqzhQkmAmXOe/view" TargetMode="External" Id="rId401"/><Relationship Type="http://schemas.openxmlformats.org/officeDocument/2006/relationships/hyperlink" Target="https://drive.google.com/file/d/1DD2K_roGc8IbIGYyaZz0ZyRB3WkjQpx2/view" TargetMode="External" Id="rId402"/><Relationship Type="http://schemas.openxmlformats.org/officeDocument/2006/relationships/hyperlink" Target="https://drive.google.com/file/d/1-d3tVc0mIz-y4Ki04QSiLqzhQkmAmXOe/view" TargetMode="External" Id="rId403"/><Relationship Type="http://schemas.openxmlformats.org/officeDocument/2006/relationships/hyperlink" Target="https://drive.google.com/file/d/1DD2K_roGc8IbIGYyaZz0ZyRB3WkjQpx2/view" TargetMode="External" Id="rId404"/><Relationship Type="http://schemas.openxmlformats.org/officeDocument/2006/relationships/hyperlink" Target="https://drive.google.com/file/d/1lF-9KUXzO_HqPqyTFmeIJG8EBEIDadUH/view" TargetMode="External" Id="rId405"/><Relationship Type="http://schemas.openxmlformats.org/officeDocument/2006/relationships/hyperlink" Target="https://drive.google.com/file/d/1l1UZ3YlmwKOaRUjBPw1rZo1eeMykiBfp/view" TargetMode="External" Id="rId406"/><Relationship Type="http://schemas.openxmlformats.org/officeDocument/2006/relationships/hyperlink" Target="https://drive.google.com/file/d/1gsebImDr2Ug4Mc223JWP4mrptSx4s4zz/view" TargetMode="External" Id="rId407"/><Relationship Type="http://schemas.openxmlformats.org/officeDocument/2006/relationships/hyperlink" Target="https://drive.google.com/file/d/16J-rRtwXGZgi-JDW1D5MhnyOCWAcCoYn/view" TargetMode="External" Id="rId408"/><Relationship Type="http://schemas.openxmlformats.org/officeDocument/2006/relationships/hyperlink" Target="https://drive.google.com/file/d/1w90Pi3Dys9oJjtmgo3kxxl0mB2KkNW7g/view" TargetMode="External" Id="rId409"/><Relationship Type="http://schemas.openxmlformats.org/officeDocument/2006/relationships/hyperlink" Target="https://drive.google.com/file/d/1c2qLGnWNrPREAKADHekWenVlbf_JUKbR/view" TargetMode="External" Id="rId410"/><Relationship Type="http://schemas.openxmlformats.org/officeDocument/2006/relationships/hyperlink" Target="https://drive.google.com/file/d/17I0L3xr569bKEwubMaGBvTUyNrmrigGR/view" TargetMode="External" Id="rId411"/><Relationship Type="http://schemas.openxmlformats.org/officeDocument/2006/relationships/hyperlink" Target="https://drive.google.com/file/d/1N6ddOzzvzfaAeJjRPj7WSBgl3t6CNBO8/view" TargetMode="External" Id="rId412"/><Relationship Type="http://schemas.openxmlformats.org/officeDocument/2006/relationships/hyperlink" Target="https://drive.google.com/file/d/1-d3tVc0mIz-y4Ki04QSiLqzhQkmAmXOe/view" TargetMode="External" Id="rId413"/><Relationship Type="http://schemas.openxmlformats.org/officeDocument/2006/relationships/hyperlink" Target="https://drive.google.com/file/d/1DD2K_roGc8IbIGYyaZz0ZyRB3WkjQpx2/view" TargetMode="External" Id="rId414"/><Relationship Type="http://schemas.openxmlformats.org/officeDocument/2006/relationships/hyperlink" Target="https://drive.google.com/file/d/1gsebImDr2Ug4Mc223JWP4mrptSx4s4zz/view" TargetMode="External" Id="rId415"/><Relationship Type="http://schemas.openxmlformats.org/officeDocument/2006/relationships/hyperlink" Target="https://drive.google.com/file/d/16J-rRtwXGZgi-JDW1D5MhnyOCWAcCoYn/view" TargetMode="External" Id="rId416"/><Relationship Type="http://schemas.openxmlformats.org/officeDocument/2006/relationships/hyperlink" Target="https://drive.google.com/file/d/1ZxksAPQKfahaG3BVU0dEDLWXl-S1sxBm/view" TargetMode="External" Id="rId417"/><Relationship Type="http://schemas.openxmlformats.org/officeDocument/2006/relationships/hyperlink" Target="https://drive.google.com/file/d/1gjHtmI14rEaHgISLtt57RkA_fz5G83yj/view" TargetMode="External" Id="rId418"/><Relationship Type="http://schemas.openxmlformats.org/officeDocument/2006/relationships/hyperlink" Target="https://drive.google.com/file/d/1w90Pi3Dys9oJjtmgo3kxxl0mB2KkNW7g/view" TargetMode="External" Id="rId419"/><Relationship Type="http://schemas.openxmlformats.org/officeDocument/2006/relationships/hyperlink" Target="https://drive.google.com/file/d/1c2qLGnWNrPREAKADHekWenVlbf_JUKbR/view" TargetMode="External" Id="rId420"/><Relationship Type="http://schemas.openxmlformats.org/officeDocument/2006/relationships/hyperlink" Target="https://drive.google.com/file/d/17I0L3xr569bKEwubMaGBvTUyNrmrigGR/view" TargetMode="External" Id="rId421"/><Relationship Type="http://schemas.openxmlformats.org/officeDocument/2006/relationships/hyperlink" Target="https://drive.google.com/file/d/1N6ddOzzvzfaAeJjRPj7WSBgl3t6CNBO8/view" TargetMode="External" Id="rId422"/><Relationship Type="http://schemas.openxmlformats.org/officeDocument/2006/relationships/hyperlink" Target="https://drive.google.com/file/d/1D0o1_a45mbioxq_Xorjnx1__OLqPDEkg/view" TargetMode="External" Id="rId423"/><Relationship Type="http://schemas.openxmlformats.org/officeDocument/2006/relationships/hyperlink" Target="https://drive.google.com/file/d/1NxNoFq4XNHFkBSM-erz0URh6Ad6wQyiX/view" TargetMode="External" Id="rId424"/><Relationship Type="http://schemas.openxmlformats.org/officeDocument/2006/relationships/hyperlink" Target="https://drive.google.com/file/d/1D0o1_a45mbioxq_Xorjnx1__OLqPDEkg/view" TargetMode="External" Id="rId425"/><Relationship Type="http://schemas.openxmlformats.org/officeDocument/2006/relationships/hyperlink" Target="https://drive.google.com/file/d/1NxNoFq4XNHFkBSM-erz0URh6Ad6wQyiX/view" TargetMode="External" Id="rId426"/><Relationship Type="http://schemas.openxmlformats.org/officeDocument/2006/relationships/hyperlink" Target="https://drive.google.com/file/d/1QCNuMnon11nszQia48jrXARu_YAsBpEW/view" TargetMode="External" Id="rId427"/><Relationship Type="http://schemas.openxmlformats.org/officeDocument/2006/relationships/hyperlink" Target="https://drive.google.com/file/d/1C0uBfQecAszPuQXfu7r0lMuj7suIHc7B/view" TargetMode="External" Id="rId428"/><Relationship Type="http://schemas.openxmlformats.org/officeDocument/2006/relationships/hyperlink" Target="https://drive.google.com/file/d/1pKYEMYHoClGk3TAyspK6vzCyn-txbQm4/view" TargetMode="External" Id="rId429"/><Relationship Type="http://schemas.openxmlformats.org/officeDocument/2006/relationships/hyperlink" Target="https://drive.google.com/file/d/10djoXv3Sw7hyY2ini0n216UBO4CeD2lA/view" TargetMode="External" Id="rId430"/><Relationship Type="http://schemas.openxmlformats.org/officeDocument/2006/relationships/hyperlink" Target="https://drive.google.com/file/d/1gsebImDr2Ug4Mc223JWP4mrptSx4s4zz/view" TargetMode="External" Id="rId431"/><Relationship Type="http://schemas.openxmlformats.org/officeDocument/2006/relationships/hyperlink" Target="https://drive.google.com/file/d/16J-rRtwXGZgi-JDW1D5MhnyOCWAcCoYn/view" TargetMode="External" Id="rId432"/><Relationship Type="http://schemas.openxmlformats.org/officeDocument/2006/relationships/hyperlink" Target="https://drive.google.com/file/d/1w90Pi3Dys9oJjtmgo3kxxl0mB2KkNW7g/view" TargetMode="External" Id="rId433"/><Relationship Type="http://schemas.openxmlformats.org/officeDocument/2006/relationships/hyperlink" Target="https://drive.google.com/file/d/1c2qLGnWNrPREAKADHekWenVlbf_JUKbR/view" TargetMode="External" Id="rId434"/><Relationship Type="http://schemas.openxmlformats.org/officeDocument/2006/relationships/hyperlink" Target="https://drive.google.com/file/d/1gsebImDr2Ug4Mc223JWP4mrptSx4s4zz/view" TargetMode="External" Id="rId435"/><Relationship Type="http://schemas.openxmlformats.org/officeDocument/2006/relationships/hyperlink" Target="https://drive.google.com/file/d/16J-rRtwXGZgi-JDW1D5MhnyOCWAcCoYn/view" TargetMode="External" Id="rId436"/><Relationship Type="http://schemas.openxmlformats.org/officeDocument/2006/relationships/hyperlink" Target="https://drive.google.com/file/d/1GhcKOCaU3-AxT_XoCK9d5EON5iZCVvgk/view" TargetMode="External" Id="rId437"/><Relationship Type="http://schemas.openxmlformats.org/officeDocument/2006/relationships/hyperlink" Target="https://drive.google.com/file/d/1O7P_RZB9cbWL8MSGmEla_T4IKsJQef3k/view" TargetMode="External" Id="rId438"/><Relationship Type="http://schemas.openxmlformats.org/officeDocument/2006/relationships/hyperlink" Target="https://drive.google.com/file/d/1STsUChg_qVkiFrDhwKQSVbz1HLfKjkEs/view" TargetMode="External" Id="rId439"/><Relationship Type="http://schemas.openxmlformats.org/officeDocument/2006/relationships/hyperlink" Target="https://drive.google.com/file/d/1tLxI-vHJLofJTgl4nBE_uDVfj6WROkZA/view" TargetMode="External" Id="rId440"/><Relationship Type="http://schemas.openxmlformats.org/officeDocument/2006/relationships/hyperlink" Target="https://drive.google.com/file/d/1o_q6W3Kdbfaq__fOEJSu5wRSXAckrE7e/view" TargetMode="External" Id="rId441"/><Relationship Type="http://schemas.openxmlformats.org/officeDocument/2006/relationships/hyperlink" Target="https://drive.google.com/file/d/1gez4kBsIKTOeBbWS4ixlqF-3b5kXr-QU/view" TargetMode="External" Id="rId442"/><Relationship Type="http://schemas.openxmlformats.org/officeDocument/2006/relationships/hyperlink" Target="https://drive.google.com/file/d/1vYt0reOS2KzdcFLpCBqKAIp1utqVchyP/view" TargetMode="External" Id="rId443"/><Relationship Type="http://schemas.openxmlformats.org/officeDocument/2006/relationships/hyperlink" Target="https://drive.google.com/file/d/1ttTCSL5OBkY2g5tIkhvXk8XXr-loX1Px/view" TargetMode="External" Id="rId444"/><Relationship Type="http://schemas.openxmlformats.org/officeDocument/2006/relationships/hyperlink" Target="https://drive.google.com/file/d/17I0L3xr569bKEwubMaGBvTUyNrmrigGR/view" TargetMode="External" Id="rId445"/><Relationship Type="http://schemas.openxmlformats.org/officeDocument/2006/relationships/hyperlink" Target="https://drive.google.com/file/d/1N6ddOzzvzfaAeJjRPj7WSBgl3t6CNBO8/view" TargetMode="External" Id="rId446"/><Relationship Type="http://schemas.openxmlformats.org/officeDocument/2006/relationships/hyperlink" Target="https://drive.google.com/file/d/1STsUChg_qVkiFrDhwKQSVbz1HLfKjkEs/view" TargetMode="External" Id="rId447"/><Relationship Type="http://schemas.openxmlformats.org/officeDocument/2006/relationships/hyperlink" Target="https://drive.google.com/file/d/1tLxI-vHJLofJTgl4nBE_uDVfj6WROkZA/view" TargetMode="External" Id="rId448"/><Relationship Type="http://schemas.openxmlformats.org/officeDocument/2006/relationships/hyperlink" Target="https://drive.google.com/file/d/1F46I_YMldcB4SLuaKAHMSGNcTp9WKQVA/view" TargetMode="External" Id="rId449"/><Relationship Type="http://schemas.openxmlformats.org/officeDocument/2006/relationships/hyperlink" Target="https://drive.google.com/file/d/1C2ciK31scWRWiRuyNMpBUZldNwuOCtgs/view" TargetMode="External" Id="rId450"/><Relationship Type="http://schemas.openxmlformats.org/officeDocument/2006/relationships/hyperlink" Target="https://drive.google.com/file/d/1gsebImDr2Ug4Mc223JWP4mrptSx4s4zz/view" TargetMode="External" Id="rId451"/><Relationship Type="http://schemas.openxmlformats.org/officeDocument/2006/relationships/hyperlink" Target="https://drive.google.com/file/d/16J-rRtwXGZgi-JDW1D5MhnyOCWAcCoYn/view" TargetMode="External" Id="rId452"/><Relationship Type="http://schemas.openxmlformats.org/officeDocument/2006/relationships/hyperlink" Target="https://drive.google.com/file/d/1gsebImDr2Ug4Mc223JWP4mrptSx4s4zz/view" TargetMode="External" Id="rId453"/><Relationship Type="http://schemas.openxmlformats.org/officeDocument/2006/relationships/hyperlink" Target="https://drive.google.com/file/d/16J-rRtwXGZgi-JDW1D5MhnyOCWAcCoYn/view" TargetMode="External" Id="rId454"/><Relationship Type="http://schemas.openxmlformats.org/officeDocument/2006/relationships/hyperlink" Target="https://drive.google.com/file/d/1GhcKOCaU3-AxT_XoCK9d5EON5iZCVvgk/view" TargetMode="External" Id="rId455"/><Relationship Type="http://schemas.openxmlformats.org/officeDocument/2006/relationships/hyperlink" Target="https://drive.google.com/file/d/1O7P_RZB9cbWL8MSGmEla_T4IKsJQef3k/view" TargetMode="External" Id="rId456"/><Relationship Type="http://schemas.openxmlformats.org/officeDocument/2006/relationships/hyperlink" Target="https://drive.google.com/file/d/1vYt0reOS2KzdcFLpCBqKAIp1utqVchyP/view" TargetMode="External" Id="rId457"/><Relationship Type="http://schemas.openxmlformats.org/officeDocument/2006/relationships/hyperlink" Target="https://drive.google.com/file/d/1ttTCSL5OBkY2g5tIkhvXk8XXr-loX1Px/view" TargetMode="External" Id="rId458"/><Relationship Type="http://schemas.openxmlformats.org/officeDocument/2006/relationships/hyperlink" Target="https://drive.google.com/file/d/17I0L3xr569bKEwubMaGBvTUyNrmrigGR/view" TargetMode="External" Id="rId459"/><Relationship Type="http://schemas.openxmlformats.org/officeDocument/2006/relationships/hyperlink" Target="https://drive.google.com/file/d/1N6ddOzzvzfaAeJjRPj7WSBgl3t6CNBO8/view" TargetMode="External" Id="rId460"/><Relationship Type="http://schemas.openxmlformats.org/officeDocument/2006/relationships/hyperlink" Target="https://drive.google.com/file/d/1vYt0reOS2KzdcFLpCBqKAIp1utqVchyP/view" TargetMode="External" Id="rId461"/><Relationship Type="http://schemas.openxmlformats.org/officeDocument/2006/relationships/hyperlink" Target="https://drive.google.com/file/d/1ttTCSL5OBkY2g5tIkhvXk8XXr-loX1Px/view" TargetMode="External" Id="rId462"/><Relationship Type="http://schemas.openxmlformats.org/officeDocument/2006/relationships/hyperlink" Target="https://drive.google.com/file/d/1vYt0reOS2KzdcFLpCBqKAIp1utqVchyP/view" TargetMode="External" Id="rId463"/><Relationship Type="http://schemas.openxmlformats.org/officeDocument/2006/relationships/hyperlink" Target="https://drive.google.com/file/d/1ttTCSL5OBkY2g5tIkhvXk8XXr-loX1Px/view" TargetMode="External" Id="rId464"/><Relationship Type="http://schemas.openxmlformats.org/officeDocument/2006/relationships/hyperlink" Target="https://drive.google.com/file/d/1vYt0reOS2KzdcFLpCBqKAIp1utqVchyP/view" TargetMode="External" Id="rId465"/><Relationship Type="http://schemas.openxmlformats.org/officeDocument/2006/relationships/hyperlink" Target="https://drive.google.com/file/d/1ttTCSL5OBkY2g5tIkhvXk8XXr-loX1Px/view" TargetMode="External" Id="rId466"/><Relationship Type="http://schemas.openxmlformats.org/officeDocument/2006/relationships/hyperlink" Target="https://drive.google.com/file/d/1OtHrkBKNFYzokUsTYrOfFdxE5dV7aHzQ/view" TargetMode="External" Id="rId467"/><Relationship Type="http://schemas.openxmlformats.org/officeDocument/2006/relationships/hyperlink" Target="https://drive.google.com/file/d/1qdUHA5r45lnt72MAlEmEVL08_OHGcYh_/view" TargetMode="External" Id="rId468"/><Relationship Type="http://schemas.openxmlformats.org/officeDocument/2006/relationships/hyperlink" Target="https://drive.google.com/file/d/18mXXTGPnEnJzRjhga8cfj2gGffdBwe-O/view" TargetMode="External" Id="rId469"/><Relationship Type="http://schemas.openxmlformats.org/officeDocument/2006/relationships/hyperlink" Target="https://drive.google.com/file/d/1V8e4v3Hyr9-8K3blbURE0uwWGEulTJUg/view" TargetMode="External" Id="rId470"/><Relationship Type="http://schemas.openxmlformats.org/officeDocument/2006/relationships/hyperlink" Target="https://drive.google.com/file/d/1vYt0reOS2KzdcFLpCBqKAIp1utqVchyP/view" TargetMode="External" Id="rId471"/><Relationship Type="http://schemas.openxmlformats.org/officeDocument/2006/relationships/hyperlink" Target="https://drive.google.com/file/d/1ttTCSL5OBkY2g5tIkhvXk8XXr-loX1Px/view" TargetMode="External" Id="rId472"/><Relationship Type="http://schemas.openxmlformats.org/officeDocument/2006/relationships/hyperlink" Target="https://drive.google.com/file/d/1QCNuMnon11nszQia48jrXARu_YAsBpEW/view" TargetMode="External" Id="rId473"/><Relationship Type="http://schemas.openxmlformats.org/officeDocument/2006/relationships/hyperlink" Target="https://drive.google.com/file/d/1C0uBfQecAszPuQXfu7r0lMuj7suIHc7B/view" TargetMode="External" Id="rId474"/><Relationship Type="http://schemas.openxmlformats.org/officeDocument/2006/relationships/hyperlink" Target="https://drive.google.com/file/d/1OtHrkBKNFYzokUsTYrOfFdxE5dV7aHzQ/view" TargetMode="External" Id="rId475"/><Relationship Type="http://schemas.openxmlformats.org/officeDocument/2006/relationships/hyperlink" Target="https://drive.google.com/file/d/1qdUHA5r45lnt72MAlEmEVL08_OHGcYh_/view" TargetMode="External" Id="rId476"/><Relationship Type="http://schemas.openxmlformats.org/officeDocument/2006/relationships/hyperlink" Target="https://drive.google.com/file/d/1O86AohKoj20CXKRPJbzDx0eiN6e3ahSt/view" TargetMode="External" Id="rId477"/><Relationship Type="http://schemas.openxmlformats.org/officeDocument/2006/relationships/hyperlink" Target="https://drive.google.com/file/d/1V3YkuYiQ3qqQ0dh74YnpqW4NHvoOUrdh/view" TargetMode="External" Id="rId478"/><Relationship Type="http://schemas.openxmlformats.org/officeDocument/2006/relationships/hyperlink" Target="https://drive.google.com/file/d/1-d3tVc0mIz-y4Ki04QSiLqzhQkmAmXOe/view" TargetMode="External" Id="rId479"/><Relationship Type="http://schemas.openxmlformats.org/officeDocument/2006/relationships/hyperlink" Target="https://drive.google.com/file/d/1DD2K_roGc8IbIGYyaZz0ZyRB3WkjQpx2/view" TargetMode="External" Id="rId480"/><Relationship Type="http://schemas.openxmlformats.org/officeDocument/2006/relationships/hyperlink" Target="https://drive.google.com/file/d/1gsebImDr2Ug4Mc223JWP4mrptSx4s4zz/view" TargetMode="External" Id="rId481"/><Relationship Type="http://schemas.openxmlformats.org/officeDocument/2006/relationships/hyperlink" Target="https://drive.google.com/file/d/16J-rRtwXGZgi-JDW1D5MhnyOCWAcCoYn/view" TargetMode="External" Id="rId482"/><Relationship Type="http://schemas.openxmlformats.org/officeDocument/2006/relationships/hyperlink" Target="https://drive.google.com/file/d/1-d3tVc0mIz-y4Ki04QSiLqzhQkmAmXOe/view" TargetMode="External" Id="rId483"/><Relationship Type="http://schemas.openxmlformats.org/officeDocument/2006/relationships/hyperlink" Target="https://drive.google.com/file/d/1DD2K_roGc8IbIGYyaZz0ZyRB3WkjQpx2/view" TargetMode="External" Id="rId484"/><Relationship Type="http://schemas.openxmlformats.org/officeDocument/2006/relationships/hyperlink" Target="https://drive.google.com/file/d/1gsebImDr2Ug4Mc223JWP4mrptSx4s4zz/view" TargetMode="External" Id="rId485"/><Relationship Type="http://schemas.openxmlformats.org/officeDocument/2006/relationships/hyperlink" Target="https://drive.google.com/file/d/16J-rRtwXGZgi-JDW1D5MhnyOCWAcCoYn/view" TargetMode="External" Id="rId486"/><Relationship Type="http://schemas.openxmlformats.org/officeDocument/2006/relationships/hyperlink" Target="https://drive.google.com/file/d/1ZxksAPQKfahaG3BVU0dEDLWXl-S1sxBm/view" TargetMode="External" Id="rId487"/><Relationship Type="http://schemas.openxmlformats.org/officeDocument/2006/relationships/hyperlink" Target="https://drive.google.com/file/d/1gjHtmI14rEaHgISLtt57RkA_fz5G83yj/view" TargetMode="External" Id="rId488"/><Relationship Type="http://schemas.openxmlformats.org/officeDocument/2006/relationships/hyperlink" Target="https://drive.google.com/file/d/1QCNuMnon11nszQia48jrXARu_YAsBpEW/view" TargetMode="External" Id="rId489"/><Relationship Type="http://schemas.openxmlformats.org/officeDocument/2006/relationships/hyperlink" Target="https://drive.google.com/file/d/1C0uBfQecAszPuQXfu7r0lMuj7suIHc7B/view" TargetMode="External" Id="rId490"/><Relationship Type="http://schemas.openxmlformats.org/officeDocument/2006/relationships/hyperlink" Target="https://drive.google.com/file/d/1OtHrkBKNFYzokUsTYrOfFdxE5dV7aHzQ/view" TargetMode="External" Id="rId491"/><Relationship Type="http://schemas.openxmlformats.org/officeDocument/2006/relationships/hyperlink" Target="https://drive.google.com/file/d/1qdUHA5r45lnt72MAlEmEVL08_OHGcYh_/view" TargetMode="External" Id="rId492"/><Relationship Type="http://schemas.openxmlformats.org/officeDocument/2006/relationships/hyperlink" Target="https://drive.google.com/file/d/1-d3tVc0mIz-y4Ki04QSiLqzhQkmAmXOe/view" TargetMode="External" Id="rId493"/><Relationship Type="http://schemas.openxmlformats.org/officeDocument/2006/relationships/hyperlink" Target="https://drive.google.com/file/d/1DD2K_roGc8IbIGYyaZz0ZyRB3WkjQpx2/view" TargetMode="External" Id="rId494"/><Relationship Type="http://schemas.openxmlformats.org/officeDocument/2006/relationships/hyperlink" Target="https://drive.google.com/file/d/1gsebImDr2Ug4Mc223JWP4mrptSx4s4zz/view" TargetMode="External" Id="rId495"/><Relationship Type="http://schemas.openxmlformats.org/officeDocument/2006/relationships/hyperlink" Target="https://drive.google.com/file/d/16J-rRtwXGZgi-JDW1D5MhnyOCWAcCoYn/view" TargetMode="External" Id="rId496"/><Relationship Type="http://schemas.openxmlformats.org/officeDocument/2006/relationships/hyperlink" Target="https://drive.google.com/file/d/1gsebImDr2Ug4Mc223JWP4mrptSx4s4zz/view" TargetMode="External" Id="rId497"/><Relationship Type="http://schemas.openxmlformats.org/officeDocument/2006/relationships/hyperlink" Target="https://drive.google.com/file/d/16J-rRtwXGZgi-JDW1D5MhnyOCWAcCoYn/view" TargetMode="External" Id="rId498"/><Relationship Type="http://schemas.openxmlformats.org/officeDocument/2006/relationships/hyperlink" Target="https://drive.google.com/file/d/1gsebImDr2Ug4Mc223JWP4mrptSx4s4zz/view" TargetMode="External" Id="rId499"/><Relationship Type="http://schemas.openxmlformats.org/officeDocument/2006/relationships/hyperlink" Target="https://drive.google.com/file/d/16J-rRtwXGZgi-JDW1D5MhnyOCWAcCoYn/view" TargetMode="External" Id="rId500"/><Relationship Type="http://schemas.openxmlformats.org/officeDocument/2006/relationships/hyperlink" Target="https://drive.google.com/file/d/1o_q6W3Kdbfaq__fOEJSu5wRSXAckrE7e/view" TargetMode="External" Id="rId501"/><Relationship Type="http://schemas.openxmlformats.org/officeDocument/2006/relationships/hyperlink" Target="https://drive.google.com/file/d/1gez4kBsIKTOeBbWS4ixlqF-3b5kXr-QU/view" TargetMode="External" Id="rId502"/><Relationship Type="http://schemas.openxmlformats.org/officeDocument/2006/relationships/hyperlink" Target="https://drive.google.com/file/d/1o_q6W3Kdbfaq__fOEJSu5wRSXAckrE7e/view" TargetMode="External" Id="rId503"/><Relationship Type="http://schemas.openxmlformats.org/officeDocument/2006/relationships/hyperlink" Target="https://drive.google.com/file/d/1gez4kBsIKTOeBbWS4ixlqF-3b5kXr-QU/view" TargetMode="External" Id="rId504"/><Relationship Type="http://schemas.openxmlformats.org/officeDocument/2006/relationships/hyperlink" Target="https://drive.google.com/file/d/1gsebImDr2Ug4Mc223JWP4mrptSx4s4zz/view" TargetMode="External" Id="rId505"/><Relationship Type="http://schemas.openxmlformats.org/officeDocument/2006/relationships/hyperlink" Target="https://drive.google.com/file/d/16J-rRtwXGZgi-JDW1D5MhnyOCWAcCoYn/view" TargetMode="External" Id="rId506"/><Relationship Type="http://schemas.openxmlformats.org/officeDocument/2006/relationships/hyperlink" Target="https://drive.google.com/file/d/1O86AohKoj20CXKRPJbzDx0eiN6e3ahSt/view" TargetMode="External" Id="rId507"/><Relationship Type="http://schemas.openxmlformats.org/officeDocument/2006/relationships/hyperlink" Target="https://drive.google.com/file/d/1V3YkuYiQ3qqQ0dh74YnpqW4NHvoOUrdh/view" TargetMode="External" Id="rId508"/><Relationship Type="http://schemas.openxmlformats.org/officeDocument/2006/relationships/hyperlink" Target="https://drive.google.com/file/d/1O86AohKoj20CXKRPJbzDx0eiN6e3ahSt/view" TargetMode="External" Id="rId509"/><Relationship Type="http://schemas.openxmlformats.org/officeDocument/2006/relationships/hyperlink" Target="https://drive.google.com/file/d/1V3YkuYiQ3qqQ0dh74YnpqW4NHvoOUrdh/view" TargetMode="External" Id="rId510"/><Relationship Type="http://schemas.openxmlformats.org/officeDocument/2006/relationships/hyperlink" Target="https://drive.google.com/file/d/1vYt0reOS2KzdcFLpCBqKAIp1utqVchyP/view" TargetMode="External" Id="rId511"/><Relationship Type="http://schemas.openxmlformats.org/officeDocument/2006/relationships/hyperlink" Target="https://drive.google.com/file/d/1ttTCSL5OBkY2g5tIkhvXk8XXr-loX1Px/view" TargetMode="External" Id="rId512"/><Relationship Type="http://schemas.openxmlformats.org/officeDocument/2006/relationships/hyperlink" Target="https://drive.google.com/file/d/1F46I_YMldcB4SLuaKAHMSGNcTp9WKQVA/view" TargetMode="External" Id="rId513"/><Relationship Type="http://schemas.openxmlformats.org/officeDocument/2006/relationships/hyperlink" Target="https://drive.google.com/file/d/1C2ciK31scWRWiRuyNMpBUZldNwuOCtgs/view" TargetMode="External" Id="rId514"/><Relationship Type="http://schemas.openxmlformats.org/officeDocument/2006/relationships/hyperlink" Target="https://drive.google.com/file/d/1-d3tVc0mIz-y4Ki04QSiLqzhQkmAmXOe/view" TargetMode="External" Id="rId515"/><Relationship Type="http://schemas.openxmlformats.org/officeDocument/2006/relationships/hyperlink" Target="https://drive.google.com/file/d/1DD2K_roGc8IbIGYyaZz0ZyRB3WkjQpx2/view" TargetMode="External" Id="rId516"/><Relationship Type="http://schemas.openxmlformats.org/officeDocument/2006/relationships/hyperlink" Target="https://drive.google.com/file/d/1gsebImDr2Ug4Mc223JWP4mrptSx4s4zz/view" TargetMode="External" Id="rId517"/><Relationship Type="http://schemas.openxmlformats.org/officeDocument/2006/relationships/hyperlink" Target="https://drive.google.com/file/d/16J-rRtwXGZgi-JDW1D5MhnyOCWAcCoYn/view" TargetMode="External" Id="rId518"/><Relationship Type="http://schemas.openxmlformats.org/officeDocument/2006/relationships/hyperlink" Target="https://drive.google.com/file/d/1gsebImDr2Ug4Mc223JWP4mrptSx4s4zz/view" TargetMode="External" Id="rId519"/><Relationship Type="http://schemas.openxmlformats.org/officeDocument/2006/relationships/hyperlink" Target="https://drive.google.com/file/d/16J-rRtwXGZgi-JDW1D5MhnyOCWAcCoYn/view" TargetMode="External" Id="rId520"/><Relationship Type="http://schemas.openxmlformats.org/officeDocument/2006/relationships/hyperlink" Target="https://drive.google.com/file/d/1gsebImDr2Ug4Mc223JWP4mrptSx4s4zz/view" TargetMode="External" Id="rId521"/><Relationship Type="http://schemas.openxmlformats.org/officeDocument/2006/relationships/hyperlink" Target="https://drive.google.com/file/d/16J-rRtwXGZgi-JDW1D5MhnyOCWAcCoYn/view" TargetMode="External" Id="rId522"/><Relationship Type="http://schemas.openxmlformats.org/officeDocument/2006/relationships/hyperlink" Target="https://drive.google.com/file/d/1-d3tVc0mIz-y4Ki04QSiLqzhQkmAmXOe/view" TargetMode="External" Id="rId523"/><Relationship Type="http://schemas.openxmlformats.org/officeDocument/2006/relationships/hyperlink" Target="https://drive.google.com/file/d/1DD2K_roGc8IbIGYyaZz0ZyRB3WkjQpx2/view" TargetMode="External" Id="rId524"/><Relationship Type="http://schemas.openxmlformats.org/officeDocument/2006/relationships/hyperlink" Target="https://drive.google.com/file/d/1gsebImDr2Ug4Mc223JWP4mrptSx4s4zz/view" TargetMode="External" Id="rId525"/><Relationship Type="http://schemas.openxmlformats.org/officeDocument/2006/relationships/hyperlink" Target="https://drive.google.com/file/d/16J-rRtwXGZgi-JDW1D5MhnyOCWAcCoYn/view" TargetMode="External" Id="rId526"/><Relationship Type="http://schemas.openxmlformats.org/officeDocument/2006/relationships/hyperlink" Target="https://drive.google.com/file/d/1-d3tVc0mIz-y4Ki04QSiLqzhQkmAmXOe/view" TargetMode="External" Id="rId527"/><Relationship Type="http://schemas.openxmlformats.org/officeDocument/2006/relationships/hyperlink" Target="https://drive.google.com/file/d/1DD2K_roGc8IbIGYyaZz0ZyRB3WkjQpx2/view" TargetMode="External" Id="rId528"/><Relationship Type="http://schemas.openxmlformats.org/officeDocument/2006/relationships/hyperlink" Target="https://drive.google.com/file/d/1STsUChg_qVkiFrDhwKQSVbz1HLfKjkEs/view" TargetMode="External" Id="rId529"/><Relationship Type="http://schemas.openxmlformats.org/officeDocument/2006/relationships/hyperlink" Target="https://drive.google.com/file/d/1tLxI-vHJLofJTgl4nBE_uDVfj6WROkZA/view" TargetMode="External" Id="rId530"/><Relationship Type="http://schemas.openxmlformats.org/officeDocument/2006/relationships/hyperlink" Target="https://drive.google.com/file/d/1-d3tVc0mIz-y4Ki04QSiLqzhQkmAmXOe/view" TargetMode="External" Id="rId531"/><Relationship Type="http://schemas.openxmlformats.org/officeDocument/2006/relationships/hyperlink" Target="https://drive.google.com/file/d/1DD2K_roGc8IbIGYyaZz0ZyRB3WkjQpx2/view" TargetMode="External" Id="rId532"/><Relationship Type="http://schemas.openxmlformats.org/officeDocument/2006/relationships/hyperlink" Target="https://drive.google.com/file/d/1GhcKOCaU3-AxT_XoCK9d5EON5iZCVvgk/view" TargetMode="External" Id="rId533"/><Relationship Type="http://schemas.openxmlformats.org/officeDocument/2006/relationships/hyperlink" Target="https://drive.google.com/file/d/1O7P_RZB9cbWL8MSGmEla_T4IKsJQef3k/view" TargetMode="External" Id="rId534"/><Relationship Type="http://schemas.openxmlformats.org/officeDocument/2006/relationships/hyperlink" Target="https://drive.google.com/file/d/1D0o1_a45mbioxq_Xorjnx1__OLqPDEkg/view" TargetMode="External" Id="rId535"/><Relationship Type="http://schemas.openxmlformats.org/officeDocument/2006/relationships/hyperlink" Target="https://drive.google.com/file/d/1NxNoFq4XNHFkBSM-erz0URh6Ad6wQyiX/view" TargetMode="External" Id="rId536"/><Relationship Type="http://schemas.openxmlformats.org/officeDocument/2006/relationships/hyperlink" Target="https://drive.google.com/file/d/1F46I_YMldcB4SLuaKAHMSGNcTp9WKQVA/view" TargetMode="External" Id="rId537"/><Relationship Type="http://schemas.openxmlformats.org/officeDocument/2006/relationships/hyperlink" Target="https://drive.google.com/file/d/1C2ciK31scWRWiRuyNMpBUZldNwuOCtgs/view" TargetMode="External" Id="rId538"/><Relationship Type="http://schemas.openxmlformats.org/officeDocument/2006/relationships/hyperlink" Target="https://drive.google.com/file/d/1o_q6W3Kdbfaq__fOEJSu5wRSXAckrE7e/view" TargetMode="External" Id="rId539"/><Relationship Type="http://schemas.openxmlformats.org/officeDocument/2006/relationships/hyperlink" Target="https://drive.google.com/file/d/1gez4kBsIKTOeBbWS4ixlqF-3b5kXr-QU/view" TargetMode="External" Id="rId540"/><Relationship Type="http://schemas.openxmlformats.org/officeDocument/2006/relationships/hyperlink" Target="https://drive.google.com/file/d/1ZxksAPQKfahaG3BVU0dEDLWXl-S1sxBm/view" TargetMode="External" Id="rId541"/><Relationship Type="http://schemas.openxmlformats.org/officeDocument/2006/relationships/hyperlink" Target="https://drive.google.com/file/d/1gjHtmI14rEaHgISLtt57RkA_fz5G83yj/view" TargetMode="External" Id="rId542"/><Relationship Type="http://schemas.openxmlformats.org/officeDocument/2006/relationships/hyperlink" Target="https://drive.google.com/file/d/1w90Pi3Dys9oJjtmgo3kxxl0mB2KkNW7g/view" TargetMode="External" Id="rId543"/><Relationship Type="http://schemas.openxmlformats.org/officeDocument/2006/relationships/hyperlink" Target="https://drive.google.com/file/d/1c2qLGnWNrPREAKADHekWenVlbf_JUKbR/view" TargetMode="External" Id="rId544"/><Relationship Type="http://schemas.openxmlformats.org/officeDocument/2006/relationships/hyperlink" Target="https://drive.google.com/file/d/1lF-9KUXzO_HqPqyTFmeIJG8EBEIDadUH/view" TargetMode="External" Id="rId545"/><Relationship Type="http://schemas.openxmlformats.org/officeDocument/2006/relationships/hyperlink" Target="https://drive.google.com/file/d/1l1UZ3YlmwKOaRUjBPw1rZo1eeMykiBfp/view" TargetMode="External" Id="rId546"/><Relationship Type="http://schemas.openxmlformats.org/officeDocument/2006/relationships/hyperlink" Target="https://drive.google.com/file/d/1o_q6W3Kdbfaq__fOEJSu5wRSXAckrE7e/view" TargetMode="External" Id="rId547"/><Relationship Type="http://schemas.openxmlformats.org/officeDocument/2006/relationships/hyperlink" Target="https://drive.google.com/file/d/1gez4kBsIKTOeBbWS4ixlqF-3b5kXr-QU/view" TargetMode="External" Id="rId548"/><Relationship Type="http://schemas.openxmlformats.org/officeDocument/2006/relationships/hyperlink" Target="https://drive.google.com/file/d/1GhcKOCaU3-AxT_XoCK9d5EON5iZCVvgk/view" TargetMode="External" Id="rId549"/><Relationship Type="http://schemas.openxmlformats.org/officeDocument/2006/relationships/hyperlink" Target="https://drive.google.com/file/d/1O7P_RZB9cbWL8MSGmEla_T4IKsJQef3k/view" TargetMode="External" Id="rId550"/><Relationship Type="http://schemas.openxmlformats.org/officeDocument/2006/relationships/hyperlink" Target="https://drive.google.com/file/d/1gsebImDr2Ug4Mc223JWP4mrptSx4s4zz/view" TargetMode="External" Id="rId551"/><Relationship Type="http://schemas.openxmlformats.org/officeDocument/2006/relationships/hyperlink" Target="https://drive.google.com/file/d/16J-rRtwXGZgi-JDW1D5MhnyOCWAcCoYn/view" TargetMode="External" Id="rId552"/><Relationship Type="http://schemas.openxmlformats.org/officeDocument/2006/relationships/hyperlink" Target="https://drive.google.com/file/d/1F46I_YMldcB4SLuaKAHMSGNcTp9WKQVA/view" TargetMode="External" Id="rId553"/><Relationship Type="http://schemas.openxmlformats.org/officeDocument/2006/relationships/hyperlink" Target="https://drive.google.com/file/d/1C2ciK31scWRWiRuyNMpBUZldNwuOCtgs/view" TargetMode="External" Id="rId554"/><Relationship Type="http://schemas.openxmlformats.org/officeDocument/2006/relationships/hyperlink" Target="https://drive.google.com/file/d/1D0o1_a45mbioxq_Xorjnx1__OLqPDEkg/view" TargetMode="External" Id="rId555"/><Relationship Type="http://schemas.openxmlformats.org/officeDocument/2006/relationships/hyperlink" Target="https://drive.google.com/file/d/1NxNoFq4XNHFkBSM-erz0URh6Ad6wQyiX/view" TargetMode="External" Id="rId556"/><Relationship Type="http://schemas.openxmlformats.org/officeDocument/2006/relationships/hyperlink" Target="https://drive.google.com/file/d/1STsUChg_qVkiFrDhwKQSVbz1HLfKjkEs/view" TargetMode="External" Id="rId557"/><Relationship Type="http://schemas.openxmlformats.org/officeDocument/2006/relationships/hyperlink" Target="https://drive.google.com/file/d/1tLxI-vHJLofJTgl4nBE_uDVfj6WROkZA/view" TargetMode="External" Id="rId558"/><Relationship Type="http://schemas.openxmlformats.org/officeDocument/2006/relationships/hyperlink" Target="https://drive.google.com/file/d/1F46I_YMldcB4SLuaKAHMSGNcTp9WKQVA/view" TargetMode="External" Id="rId559"/><Relationship Type="http://schemas.openxmlformats.org/officeDocument/2006/relationships/hyperlink" Target="https://drive.google.com/file/d/1C2ciK31scWRWiRuyNMpBUZldNwuOCtgs/view" TargetMode="External" Id="rId560"/><Relationship Type="http://schemas.openxmlformats.org/officeDocument/2006/relationships/hyperlink" Target="https://drive.google.com/file/d/1GhcKOCaU3-AxT_XoCK9d5EON5iZCVvgk/view" TargetMode="External" Id="rId561"/><Relationship Type="http://schemas.openxmlformats.org/officeDocument/2006/relationships/hyperlink" Target="https://drive.google.com/file/d/1O7P_RZB9cbWL8MSGmEla_T4IKsJQef3k/view" TargetMode="External" Id="rId562"/><Relationship Type="http://schemas.openxmlformats.org/officeDocument/2006/relationships/hyperlink" Target="https://drive.google.com/file/d/1-d3tVc0mIz-y4Ki04QSiLqzhQkmAmXOe/view" TargetMode="External" Id="rId563"/><Relationship Type="http://schemas.openxmlformats.org/officeDocument/2006/relationships/hyperlink" Target="https://drive.google.com/file/d/1DD2K_roGc8IbIGYyaZz0ZyRB3WkjQpx2/view" TargetMode="External" Id="rId564"/><Relationship Type="http://schemas.openxmlformats.org/officeDocument/2006/relationships/hyperlink" Target="https://drive.google.com/file/d/1gsebImDr2Ug4Mc223JWP4mrptSx4s4zz/view" TargetMode="External" Id="rId565"/><Relationship Type="http://schemas.openxmlformats.org/officeDocument/2006/relationships/hyperlink" Target="https://drive.google.com/file/d/16J-rRtwXGZgi-JDW1D5MhnyOCWAcCoYn/view" TargetMode="External" Id="rId566"/><Relationship Type="http://schemas.openxmlformats.org/officeDocument/2006/relationships/hyperlink" Target="https://drive.google.com/file/d/1gsebImDr2Ug4Mc223JWP4mrptSx4s4zz/view" TargetMode="External" Id="rId567"/><Relationship Type="http://schemas.openxmlformats.org/officeDocument/2006/relationships/hyperlink" Target="https://drive.google.com/file/d/16J-rRtwXGZgi-JDW1D5MhnyOCWAcCoYn/view" TargetMode="External" Id="rId568"/><Relationship Type="http://schemas.openxmlformats.org/officeDocument/2006/relationships/hyperlink" Target="https://drive.google.com/file/d/1gsebImDr2Ug4Mc223JWP4mrptSx4s4zz/view" TargetMode="External" Id="rId569"/><Relationship Type="http://schemas.openxmlformats.org/officeDocument/2006/relationships/hyperlink" Target="https://drive.google.com/file/d/16J-rRtwXGZgi-JDW1D5MhnyOCWAcCoYn/view" TargetMode="External" Id="rId570"/><Relationship Type="http://schemas.openxmlformats.org/officeDocument/2006/relationships/hyperlink" Target="https://drive.google.com/file/d/1-d3tVc0mIz-y4Ki04QSiLqzhQkmAmXOe/view" TargetMode="External" Id="rId571"/><Relationship Type="http://schemas.openxmlformats.org/officeDocument/2006/relationships/hyperlink" Target="https://drive.google.com/file/d/1DD2K_roGc8IbIGYyaZz0ZyRB3WkjQpx2/view" TargetMode="External" Id="rId572"/><Relationship Type="http://schemas.openxmlformats.org/officeDocument/2006/relationships/hyperlink" Target="https://drive.google.com/file/d/1STsUChg_qVkiFrDhwKQSVbz1HLfKjkEs/view" TargetMode="External" Id="rId573"/><Relationship Type="http://schemas.openxmlformats.org/officeDocument/2006/relationships/hyperlink" Target="https://drive.google.com/file/d/1tLxI-vHJLofJTgl4nBE_uDVfj6WROkZA/view" TargetMode="External" Id="rId574"/><Relationship Type="http://schemas.openxmlformats.org/officeDocument/2006/relationships/hyperlink" Target="https://drive.google.com/file/d/1k5bsUvbpB36qmE5hXpmBcv3Ojm2AzWoj/view" TargetMode="External" Id="rId575"/><Relationship Type="http://schemas.openxmlformats.org/officeDocument/2006/relationships/hyperlink" Target="https://drive.google.com/file/d/1mhrvprzm3vFVzbEJoOCDxcXdgJX-WMUM/view" TargetMode="External" Id="rId576"/><Relationship Type="http://schemas.openxmlformats.org/officeDocument/2006/relationships/hyperlink" Target="https://drive.google.com/file/d/1ZxksAPQKfahaG3BVU0dEDLWXl-S1sxBm/view" TargetMode="External" Id="rId577"/><Relationship Type="http://schemas.openxmlformats.org/officeDocument/2006/relationships/hyperlink" Target="https://drive.google.com/file/d/1gjHtmI14rEaHgISLtt57RkA_fz5G83yj/view" TargetMode="External" Id="rId578"/><Relationship Type="http://schemas.openxmlformats.org/officeDocument/2006/relationships/hyperlink" Target="https://drive.google.com/file/d/1lF-9KUXzO_HqPqyTFmeIJG8EBEIDadUH/view" TargetMode="External" Id="rId579"/><Relationship Type="http://schemas.openxmlformats.org/officeDocument/2006/relationships/hyperlink" Target="https://drive.google.com/file/d/1l1UZ3YlmwKOaRUjBPw1rZo1eeMykiBfp/view" TargetMode="External" Id="rId580"/><Relationship Type="http://schemas.openxmlformats.org/officeDocument/2006/relationships/hyperlink" Target="https://drive.google.com/file/d/1o_q6W3Kdbfaq__fOEJSu5wRSXAckrE7e/view" TargetMode="External" Id="rId581"/><Relationship Type="http://schemas.openxmlformats.org/officeDocument/2006/relationships/hyperlink" Target="https://drive.google.com/file/d/1gez4kBsIKTOeBbWS4ixlqF-3b5kXr-QU/view" TargetMode="External" Id="rId582"/><Relationship Type="http://schemas.openxmlformats.org/officeDocument/2006/relationships/hyperlink" Target="https://drive.google.com/file/d/1vYt0reOS2KzdcFLpCBqKAIp1utqVchyP/view" TargetMode="External" Id="rId583"/><Relationship Type="http://schemas.openxmlformats.org/officeDocument/2006/relationships/hyperlink" Target="https://drive.google.com/file/d/1ttTCSL5OBkY2g5tIkhvXk8XXr-loX1Px/view" TargetMode="External" Id="rId584"/><Relationship Type="http://schemas.openxmlformats.org/officeDocument/2006/relationships/hyperlink" Target="https://drive.google.com/file/d/1O86AohKoj20CXKRPJbzDx0eiN6e3ahSt/view" TargetMode="External" Id="rId585"/><Relationship Type="http://schemas.openxmlformats.org/officeDocument/2006/relationships/hyperlink" Target="https://drive.google.com/file/d/1V3YkuYiQ3qqQ0dh74YnpqW4NHvoOUrdh/view" TargetMode="External" Id="rId586"/><Relationship Type="http://schemas.openxmlformats.org/officeDocument/2006/relationships/hyperlink" Target="https://drive.google.com/file/d/1w90Pi3Dys9oJjtmgo3kxxl0mB2KkNW7g/view" TargetMode="External" Id="rId587"/><Relationship Type="http://schemas.openxmlformats.org/officeDocument/2006/relationships/hyperlink" Target="https://drive.google.com/file/d/1c2qLGnWNrPREAKADHekWenVlbf_JUKbR/view" TargetMode="External" Id="rId588"/><Relationship Type="http://schemas.openxmlformats.org/officeDocument/2006/relationships/hyperlink" Target="https://drive.google.com/file/d/1QCNuMnon11nszQia48jrXARu_YAsBpEW/view" TargetMode="External" Id="rId589"/><Relationship Type="http://schemas.openxmlformats.org/officeDocument/2006/relationships/hyperlink" Target="https://drive.google.com/file/d/1C0uBfQecAszPuQXfu7r0lMuj7suIHc7B/view" TargetMode="External" Id="rId590"/><Relationship Type="http://schemas.openxmlformats.org/officeDocument/2006/relationships/hyperlink" Target="https://drive.google.com/file/d/1OtHrkBKNFYzokUsTYrOfFdxE5dV7aHzQ/view" TargetMode="External" Id="rId591"/><Relationship Type="http://schemas.openxmlformats.org/officeDocument/2006/relationships/hyperlink" Target="https://drive.google.com/file/d/1qdUHA5r45lnt72MAlEmEVL08_OHGcYh_/view" TargetMode="External" Id="rId592"/><Relationship Type="http://schemas.openxmlformats.org/officeDocument/2006/relationships/hyperlink" Target="https://drive.google.com/file/d/1O86AohKoj20CXKRPJbzDx0eiN6e3ahSt/view" TargetMode="External" Id="rId593"/><Relationship Type="http://schemas.openxmlformats.org/officeDocument/2006/relationships/hyperlink" Target="https://drive.google.com/file/d/1V3YkuYiQ3qqQ0dh74YnpqW4NHvoOUrdh/view" TargetMode="External" Id="rId594"/><Relationship Type="http://schemas.openxmlformats.org/officeDocument/2006/relationships/hyperlink" Target="https://drive.google.com/file/d/18mXXTGPnEnJzRjhga8cfj2gGffdBwe-O/view" TargetMode="External" Id="rId595"/><Relationship Type="http://schemas.openxmlformats.org/officeDocument/2006/relationships/hyperlink" Target="https://drive.google.com/file/d/1V8e4v3Hyr9-8K3blbURE0uwWGEulTJUg/view" TargetMode="External" Id="rId596"/><Relationship Type="http://schemas.openxmlformats.org/officeDocument/2006/relationships/hyperlink" Target="https://drive.google.com/file/d/1-d3tVc0mIz-y4Ki04QSiLqzhQkmAmXOe/view" TargetMode="External" Id="rId597"/><Relationship Type="http://schemas.openxmlformats.org/officeDocument/2006/relationships/hyperlink" Target="https://drive.google.com/file/d/1DD2K_roGc8IbIGYyaZz0ZyRB3WkjQpx2/view" TargetMode="External" Id="rId598"/><Relationship Type="http://schemas.openxmlformats.org/officeDocument/2006/relationships/hyperlink" Target="https://drive.google.com/file/d/1D0o1_a45mbioxq_Xorjnx1__OLqPDEkg/view" TargetMode="External" Id="rId599"/><Relationship Type="http://schemas.openxmlformats.org/officeDocument/2006/relationships/hyperlink" Target="https://drive.google.com/file/d/1NxNoFq4XNHFkBSM-erz0URh6Ad6wQyiX/view" TargetMode="External" Id="rId600"/><Relationship Type="http://schemas.openxmlformats.org/officeDocument/2006/relationships/hyperlink" Target="https://drive.google.com/file/d/1ZxksAPQKfahaG3BVU0dEDLWXl-S1sxBm/view" TargetMode="External" Id="rId601"/><Relationship Type="http://schemas.openxmlformats.org/officeDocument/2006/relationships/hyperlink" Target="https://drive.google.com/file/d/1gjHtmI14rEaHgISLtt57RkA_fz5G83yj/view" TargetMode="External" Id="rId602"/><Relationship Type="http://schemas.openxmlformats.org/officeDocument/2006/relationships/hyperlink" Target="https://drive.google.com/file/d/1w90Pi3Dys9oJjtmgo3kxxl0mB2KkNW7g/view" TargetMode="External" Id="rId603"/><Relationship Type="http://schemas.openxmlformats.org/officeDocument/2006/relationships/hyperlink" Target="https://drive.google.com/file/d/1c2qLGnWNrPREAKADHekWenVlbf_JUKbR/view" TargetMode="External" Id="rId604"/><Relationship Type="http://schemas.openxmlformats.org/officeDocument/2006/relationships/hyperlink" Target="https://drive.google.com/file/d/1-d3tVc0mIz-y4Ki04QSiLqzhQkmAmXOe/view" TargetMode="External" Id="rId605"/><Relationship Type="http://schemas.openxmlformats.org/officeDocument/2006/relationships/hyperlink" Target="https://drive.google.com/file/d/1DD2K_roGc8IbIGYyaZz0ZyRB3WkjQpx2/view" TargetMode="External" Id="rId606"/><Relationship Type="http://schemas.openxmlformats.org/officeDocument/2006/relationships/hyperlink" Target="https://drive.google.com/file/d/1ZxksAPQKfahaG3BVU0dEDLWXl-S1sxBm/view" TargetMode="External" Id="rId607"/><Relationship Type="http://schemas.openxmlformats.org/officeDocument/2006/relationships/hyperlink" Target="https://drive.google.com/file/d/1gjHtmI14rEaHgISLtt57RkA_fz5G83yj/view" TargetMode="External" Id="rId608"/><Relationship Type="http://schemas.openxmlformats.org/officeDocument/2006/relationships/hyperlink" Target="https://drive.google.com/file/d/1QCNuMnon11nszQia48jrXARu_YAsBpEW/view" TargetMode="External" Id="rId609"/><Relationship Type="http://schemas.openxmlformats.org/officeDocument/2006/relationships/hyperlink" Target="https://drive.google.com/file/d/1C0uBfQecAszPuQXfu7r0lMuj7suIHc7B/view" TargetMode="External" Id="rId610"/><Relationship Type="http://schemas.openxmlformats.org/officeDocument/2006/relationships/hyperlink" Target="https://drive.google.com/file/d/18mXXTGPnEnJzRjhga8cfj2gGffdBwe-O/view" TargetMode="External" Id="rId611"/><Relationship Type="http://schemas.openxmlformats.org/officeDocument/2006/relationships/hyperlink" Target="https://drive.google.com/file/d/1V8e4v3Hyr9-8K3blbURE0uwWGEulTJUg/view" TargetMode="External" Id="rId612"/><Relationship Type="http://schemas.openxmlformats.org/officeDocument/2006/relationships/hyperlink" Target="https://drive.google.com/file/d/1STsUChg_qVkiFrDhwKQSVbz1HLfKjkEs/view" TargetMode="External" Id="rId613"/><Relationship Type="http://schemas.openxmlformats.org/officeDocument/2006/relationships/hyperlink" Target="https://drive.google.com/file/d/1tLxI-vHJLofJTgl4nBE_uDVfj6WROkZA/view" TargetMode="External" Id="rId614"/><Relationship Type="http://schemas.openxmlformats.org/officeDocument/2006/relationships/hyperlink" Target="https://drive.google.com/file/d/1lF-9KUXzO_HqPqyTFmeIJG8EBEIDadUH/view" TargetMode="External" Id="rId615"/><Relationship Type="http://schemas.openxmlformats.org/officeDocument/2006/relationships/hyperlink" Target="https://drive.google.com/file/d/1l1UZ3YlmwKOaRUjBPw1rZo1eeMykiBfp/view" TargetMode="External" Id="rId616"/><Relationship Type="http://schemas.openxmlformats.org/officeDocument/2006/relationships/hyperlink" Target="https://drive.google.com/file/d/1GhcKOCaU3-AxT_XoCK9d5EON5iZCVvgk/view" TargetMode="External" Id="rId617"/><Relationship Type="http://schemas.openxmlformats.org/officeDocument/2006/relationships/hyperlink" Target="https://drive.google.com/file/d/1O7P_RZB9cbWL8MSGmEla_T4IKsJQef3k/view" TargetMode="External" Id="rId618"/><Relationship Type="http://schemas.openxmlformats.org/officeDocument/2006/relationships/hyperlink" Target="https://drive.google.com/file/d/1D0o1_a45mbioxq_Xorjnx1__OLqPDEkg/view" TargetMode="External" Id="rId619"/><Relationship Type="http://schemas.openxmlformats.org/officeDocument/2006/relationships/hyperlink" Target="https://drive.google.com/file/d/1NxNoFq4XNHFkBSM-erz0URh6Ad6wQyiX/view" TargetMode="External" Id="rId620"/><Relationship Type="http://schemas.openxmlformats.org/officeDocument/2006/relationships/hyperlink" Target="https://drive.google.com/file/d/1F46I_YMldcB4SLuaKAHMSGNcTp9WKQVA/view" TargetMode="External" Id="rId621"/><Relationship Type="http://schemas.openxmlformats.org/officeDocument/2006/relationships/hyperlink" Target="https://drive.google.com/file/d/1C2ciK31scWRWiRuyNMpBUZldNwuOCtgs/view" TargetMode="External" Id="rId622"/><Relationship Type="http://schemas.openxmlformats.org/officeDocument/2006/relationships/hyperlink" Target="https://drive.google.com/file/d/1o_q6W3Kdbfaq__fOEJSu5wRSXAckrE7e/view" TargetMode="External" Id="rId623"/><Relationship Type="http://schemas.openxmlformats.org/officeDocument/2006/relationships/hyperlink" Target="https://drive.google.com/file/d/1gez4kBsIKTOeBbWS4ixlqF-3b5kXr-QU/view" TargetMode="External" Id="rId624"/><Relationship Type="http://schemas.openxmlformats.org/officeDocument/2006/relationships/hyperlink" Target="https://drive.google.com/file/d/1OtHrkBKNFYzokUsTYrOfFdxE5dV7aHzQ/view" TargetMode="External" Id="rId625"/><Relationship Type="http://schemas.openxmlformats.org/officeDocument/2006/relationships/hyperlink" Target="https://drive.google.com/file/d/1qdUHA5r45lnt72MAlEmEVL08_OHGcYh_/view" TargetMode="External" Id="rId626"/><Relationship Type="http://schemas.openxmlformats.org/officeDocument/2006/relationships/hyperlink" Target="https://drive.google.com/file/d/1w90Pi3Dys9oJjtmgo3kxxl0mB2KkNW7g/view" TargetMode="External" Id="rId627"/><Relationship Type="http://schemas.openxmlformats.org/officeDocument/2006/relationships/hyperlink" Target="https://drive.google.com/file/d/1c2qLGnWNrPREAKADHekWenVlbf_JUKbR/view" TargetMode="External" Id="rId628"/><Relationship Type="http://schemas.openxmlformats.org/officeDocument/2006/relationships/hyperlink" Target="https://drive.google.com/file/d/1O86AohKoj20CXKRPJbzDx0eiN6e3ahSt/view" TargetMode="External" Id="rId629"/><Relationship Type="http://schemas.openxmlformats.org/officeDocument/2006/relationships/hyperlink" Target="https://drive.google.com/file/d/1V3YkuYiQ3qqQ0dh74YnpqW4NHvoOUrdh/view" TargetMode="External" Id="rId630"/><Relationship Type="http://schemas.openxmlformats.org/officeDocument/2006/relationships/hyperlink" Target="https://drive.google.com/file/d/1-d3tVc0mIz-y4Ki04QSiLqzhQkmAmXOe/view" TargetMode="External" Id="rId631"/><Relationship Type="http://schemas.openxmlformats.org/officeDocument/2006/relationships/hyperlink" Target="https://drive.google.com/file/d/1DD2K_roGc8IbIGYyaZz0ZyRB3WkjQpx2/view" TargetMode="External" Id="rId632"/><Relationship Type="http://schemas.openxmlformats.org/officeDocument/2006/relationships/hyperlink" Target="https://drive.google.com/file/d/1vYt0reOS2KzdcFLpCBqKAIp1utqVchyP/view" TargetMode="External" Id="rId633"/><Relationship Type="http://schemas.openxmlformats.org/officeDocument/2006/relationships/hyperlink" Target="https://drive.google.com/file/d/1ttTCSL5OBkY2g5tIkhvXk8XXr-loX1Px/view" TargetMode="External" Id="rId634"/><Relationship Type="http://schemas.openxmlformats.org/officeDocument/2006/relationships/hyperlink" Target="https://drive.google.com/file/d/1STsUChg_qVkiFrDhwKQSVbz1HLfKjkEs/view" TargetMode="External" Id="rId635"/><Relationship Type="http://schemas.openxmlformats.org/officeDocument/2006/relationships/hyperlink" Target="https://drive.google.com/file/d/1tLxI-vHJLofJTgl4nBE_uDVfj6WROkZA/view" TargetMode="External" Id="rId636"/><Relationship Type="http://schemas.openxmlformats.org/officeDocument/2006/relationships/hyperlink" Target="https://drive.google.com/file/d/1STsUChg_qVkiFrDhwKQSVbz1HLfKjkEs/view" TargetMode="External" Id="rId637"/><Relationship Type="http://schemas.openxmlformats.org/officeDocument/2006/relationships/hyperlink" Target="https://drive.google.com/file/d/1tLxI-vHJLofJTgl4nBE_uDVfj6WROkZA/view" TargetMode="External" Id="rId638"/><Relationship Type="http://schemas.openxmlformats.org/officeDocument/2006/relationships/hyperlink" Target="https://drive.google.com/file/d/1o_q6W3Kdbfaq__fOEJSu5wRSXAckrE7e/view" TargetMode="External" Id="rId639"/><Relationship Type="http://schemas.openxmlformats.org/officeDocument/2006/relationships/hyperlink" Target="https://drive.google.com/file/d/1gez4kBsIKTOeBbWS4ixlqF-3b5kXr-QU/view" TargetMode="External" Id="rId640"/><Relationship Type="http://schemas.openxmlformats.org/officeDocument/2006/relationships/hyperlink" Target="https://drive.google.com/file/d/1D0o1_a45mbioxq_Xorjnx1__OLqPDEkg/view" TargetMode="External" Id="rId641"/><Relationship Type="http://schemas.openxmlformats.org/officeDocument/2006/relationships/hyperlink" Target="https://drive.google.com/file/d/1NxNoFq4XNHFkBSM-erz0URh6Ad6wQyiX/view" TargetMode="External" Id="rId642"/><Relationship Type="http://schemas.openxmlformats.org/officeDocument/2006/relationships/hyperlink" Target="https://drive.google.com/file/d/1F46I_YMldcB4SLuaKAHMSGNcTp9WKQVA/view" TargetMode="External" Id="rId643"/><Relationship Type="http://schemas.openxmlformats.org/officeDocument/2006/relationships/hyperlink" Target="https://drive.google.com/file/d/1C2ciK31scWRWiRuyNMpBUZldNwuOCtgs/view" TargetMode="External" Id="rId644"/><Relationship Type="http://schemas.openxmlformats.org/officeDocument/2006/relationships/hyperlink" Target="https://drive.google.com/file/d/1o_q6W3Kdbfaq__fOEJSu5wRSXAckrE7e/view" TargetMode="External" Id="rId645"/><Relationship Type="http://schemas.openxmlformats.org/officeDocument/2006/relationships/hyperlink" Target="https://drive.google.com/file/d/1gez4kBsIKTOeBbWS4ixlqF-3b5kXr-QU/view" TargetMode="External" Id="rId646"/><Relationship Type="http://schemas.openxmlformats.org/officeDocument/2006/relationships/hyperlink" Target="https://drive.google.com/file/d/1-d3tVc0mIz-y4Ki04QSiLqzhQkmAmXOe/view" TargetMode="External" Id="rId647"/><Relationship Type="http://schemas.openxmlformats.org/officeDocument/2006/relationships/hyperlink" Target="https://drive.google.com/file/d/1DD2K_roGc8IbIGYyaZz0ZyRB3WkjQpx2/view" TargetMode="External" Id="rId648"/><Relationship Type="http://schemas.openxmlformats.org/officeDocument/2006/relationships/hyperlink" Target="https://drive.google.com/file/d/1-d3tVc0mIz-y4Ki04QSiLqzhQkmAmXOe/view" TargetMode="External" Id="rId649"/><Relationship Type="http://schemas.openxmlformats.org/officeDocument/2006/relationships/hyperlink" Target="https://drive.google.com/file/d/1DD2K_roGc8IbIGYyaZz0ZyRB3WkjQpx2/view" TargetMode="External" Id="rId650"/><Relationship Type="http://schemas.openxmlformats.org/officeDocument/2006/relationships/hyperlink" Target="https://drive.google.com/file/d/1-d3tVc0mIz-y4Ki04QSiLqzhQkmAmXOe/view" TargetMode="External" Id="rId651"/><Relationship Type="http://schemas.openxmlformats.org/officeDocument/2006/relationships/hyperlink" Target="https://drive.google.com/file/d/1DD2K_roGc8IbIGYyaZz0ZyRB3WkjQpx2/view" TargetMode="External" Id="rId652"/><Relationship Type="http://schemas.openxmlformats.org/officeDocument/2006/relationships/hyperlink" Target="https://drive.google.com/file/d/17I0L3xr569bKEwubMaGBvTUyNrmrigGR/view" TargetMode="External" Id="rId653"/><Relationship Type="http://schemas.openxmlformats.org/officeDocument/2006/relationships/hyperlink" Target="https://drive.google.com/file/d/1N6ddOzzvzfaAeJjRPj7WSBgl3t6CNBO8/view" TargetMode="External" Id="rId654"/><Relationship Type="http://schemas.openxmlformats.org/officeDocument/2006/relationships/hyperlink" Target="https://drive.google.com/file/d/17I0L3xr569bKEwubMaGBvTUyNrmrigGR/view" TargetMode="External" Id="rId655"/><Relationship Type="http://schemas.openxmlformats.org/officeDocument/2006/relationships/hyperlink" Target="https://drive.google.com/file/d/1N6ddOzzvzfaAeJjRPj7WSBgl3t6CNBO8/view" TargetMode="External" Id="rId656"/><Relationship Type="http://schemas.openxmlformats.org/officeDocument/2006/relationships/hyperlink" Target="https://drive.google.com/file/d/1lF-9KUXzO_HqPqyTFmeIJG8EBEIDadUH/view" TargetMode="External" Id="rId657"/><Relationship Type="http://schemas.openxmlformats.org/officeDocument/2006/relationships/hyperlink" Target="https://drive.google.com/file/d/1l1UZ3YlmwKOaRUjBPw1rZo1eeMykiBfp/view" TargetMode="External" Id="rId658"/><Relationship Type="http://schemas.openxmlformats.org/officeDocument/2006/relationships/hyperlink" Target="https://drive.google.com/file/d/1STsUChg_qVkiFrDhwKQSVbz1HLfKjkEs/view" TargetMode="External" Id="rId659"/><Relationship Type="http://schemas.openxmlformats.org/officeDocument/2006/relationships/hyperlink" Target="https://drive.google.com/file/d/1tLxI-vHJLofJTgl4nBE_uDVfj6WROkZA/view" TargetMode="External" Id="rId660"/><Relationship Type="http://schemas.openxmlformats.org/officeDocument/2006/relationships/hyperlink" Target="https://drive.google.com/file/d/1D0o1_a45mbioxq_Xorjnx1__OLqPDEkg/view" TargetMode="External" Id="rId661"/><Relationship Type="http://schemas.openxmlformats.org/officeDocument/2006/relationships/hyperlink" Target="https://drive.google.com/file/d/1NxNoFq4XNHFkBSM-erz0URh6Ad6wQyiX/view" TargetMode="External" Id="rId662"/><Relationship Type="http://schemas.openxmlformats.org/officeDocument/2006/relationships/hyperlink" Target="https://drive.google.com/file/d/1-d3tVc0mIz-y4Ki04QSiLqzhQkmAmXOe/view" TargetMode="External" Id="rId663"/><Relationship Type="http://schemas.openxmlformats.org/officeDocument/2006/relationships/hyperlink" Target="https://drive.google.com/file/d/1DD2K_roGc8IbIGYyaZz0ZyRB3WkjQpx2/view" TargetMode="External" Id="rId664"/><Relationship Type="http://schemas.openxmlformats.org/officeDocument/2006/relationships/drawing" Target="/xl/drawings/drawing2.xml" Id="rId665"/></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fitToPage="1"/>
  </sheetPr>
  <dimension ref="A1:F277"/>
  <sheetViews>
    <sheetView showGridLines="0" zoomScale="85" workbookViewId="0">
      <pane xSplit="2" ySplit="9" topLeftCell="C10" activePane="bottomRight" state="frozen"/>
      <selection pane="topRight"/>
      <selection pane="bottomLeft"/>
      <selection pane="bottomRight"/>
      <selection pane="bottomLeft"/>
      <selection pane="bottomRight" activeCell="A1" sqref="A1"/>
    </sheetView>
  </sheetViews>
  <sheetFormatPr baseColWidth="8" defaultRowHeight="15"/>
  <cols>
    <col width="15" customWidth="1" min="1" max="1"/>
    <col width="66" customWidth="1" min="2" max="2"/>
    <col width="28" customWidth="1" min="3" max="3"/>
    <col width="20" customWidth="1" min="4" max="4"/>
    <col width="18" customWidth="1" min="5" max="5"/>
    <col width="45" customWidth="1" min="6" max="6"/>
  </cols>
  <sheetData>
    <row r="1" ht="52" customHeight="1">
      <c r="A1" s="1" t="inlineStr">
        <is>
          <t>КАКИЕ ТЕМЫ ВЫ ГОТОВЫ ЧИТАТЬ?</t>
        </is>
      </c>
      <c r="B1" s="2" t="n"/>
      <c r="C1" s="2" t="n"/>
      <c r="D1" s="2" t="n"/>
      <c r="E1" s="2" t="n"/>
    </row>
    <row r="2" ht="28" customHeight="1">
      <c r="A2" s="3" t="inlineStr">
        <is>
          <t>Каталог тем · Rozum · Содержание внутри файла</t>
        </is>
      </c>
      <c r="B2" s="4" t="n"/>
      <c r="C2" s="4" t="n"/>
      <c r="D2" s="4" t="n"/>
      <c r="E2" s="4" t="n"/>
      <c r="F2" s="4" t="n"/>
    </row>
    <row r="3" ht="29" customHeight="1">
      <c r="A3" s="3" t="inlineStr">
        <is>
          <t>Укажите ФИО, откройте содержание и отметьте готовность. Заполняйте светло-зелёные ячейки.</t>
        </is>
      </c>
      <c r="B3" s="4" t="n"/>
      <c r="C3" s="4" t="n"/>
      <c r="D3" s="4" t="n"/>
      <c r="E3" s="4" t="n"/>
      <c r="F3" s="4" t="n"/>
    </row>
    <row r="4" ht="28" customHeight="1">
      <c r="A4" s="5" t="inlineStr">
        <is>
          <t>Ваше ФИО</t>
        </is>
      </c>
      <c r="B4" s="6" t="n"/>
      <c r="E4" s="5" t="inlineStr">
        <is>
          <t>Дата анкеты</t>
        </is>
      </c>
      <c r="F4" s="7" t="n"/>
    </row>
    <row r="5" ht="28" customHeight="1">
      <c r="A5" s="5" t="inlineStr">
        <is>
          <t>Заполнение</t>
        </is>
      </c>
      <c r="B5" s="6" t="inlineStr">
        <is>
          <t>В процессе</t>
        </is>
      </c>
      <c r="E5" s="5" t="inlineStr">
        <is>
          <t>Версия</t>
        </is>
      </c>
      <c r="F5" t="inlineStr">
        <is>
          <t>ROZUM-2026-10-16-v2</t>
        </is>
      </c>
    </row>
    <row r="6" ht="31" customHeight="1">
      <c r="A6" s="8" t="inlineStr">
        <is>
          <t>«Да» — готовы читать тему. При ограничениях по содержанию или программе выберите «Частично» и поясните их в комментарии.</t>
        </is>
      </c>
      <c r="B6" s="9" t="n"/>
      <c r="C6" s="9" t="n"/>
      <c r="D6" s="9" t="n"/>
      <c r="E6" s="9" t="n"/>
      <c r="F6" s="9" t="n"/>
    </row>
    <row r="7" ht="27" customHeight="1">
      <c r="A7" s="10" t="inlineStr">
        <is>
          <t>Все содержания →</t>
        </is>
      </c>
      <c r="D7" s="10" t="inlineStr">
        <is>
          <t>Инструкция →</t>
        </is>
      </c>
    </row>
    <row r="8" ht="6" customHeight="1">
      <c r="A8" s="11" t="n"/>
      <c r="B8" s="11" t="n"/>
      <c r="C8" s="11" t="n"/>
      <c r="D8" s="12" t="n"/>
      <c r="E8" s="12" t="n"/>
      <c r="F8" s="12" t="n"/>
    </row>
    <row r="9" ht="32" customHeight="1">
      <c r="A9" s="13" t="inlineStr">
        <is>
          <t>Код темы</t>
        </is>
      </c>
      <c r="B9" s="13" t="inlineStr">
        <is>
          <t>Тема</t>
        </is>
      </c>
      <c r="C9" s="13" t="inlineStr">
        <is>
          <t>В каких программах</t>
        </is>
      </c>
      <c r="D9" s="13" t="inlineStr">
        <is>
          <t>Содержание</t>
        </is>
      </c>
      <c r="E9" s="13" t="inlineStr">
        <is>
          <t>Могу читать</t>
        </is>
      </c>
      <c r="F9" s="13" t="inlineStr">
        <is>
          <t>Комментарий преподавателя</t>
        </is>
      </c>
    </row>
    <row r="10" ht="48" customHeight="1">
      <c r="A10" s="14" t="inlineStr">
        <is>
          <t>T-69C6C7C7</t>
        </is>
      </c>
      <c r="B10" s="14" t="inlineStr">
        <is>
          <t>Case Management в SOAR</t>
        </is>
      </c>
      <c r="C10" s="14" t="inlineStr">
        <is>
          <t>РКИОК</t>
        </is>
      </c>
      <c r="D10" s="15" t="inlineStr">
        <is>
          <t>Открыть →</t>
        </is>
      </c>
      <c r="E10" s="6" t="inlineStr"/>
      <c r="F10" s="6" t="inlineStr"/>
    </row>
    <row r="11" ht="48" customHeight="1">
      <c r="A11" s="16" t="inlineStr">
        <is>
          <t>T-22B750DE</t>
        </is>
      </c>
      <c r="B11" s="16" t="inlineStr">
        <is>
          <t>DoS- и DDoS-кибератаки</t>
        </is>
      </c>
      <c r="C11" s="16" t="inlineStr">
        <is>
          <t>ТК</t>
        </is>
      </c>
      <c r="D11" s="17" t="inlineStr">
        <is>
          <t>Открыть →</t>
        </is>
      </c>
      <c r="E11" s="6" t="inlineStr"/>
      <c r="F11" s="6" t="inlineStr"/>
    </row>
    <row r="12" ht="48" customHeight="1">
      <c r="A12" s="14" t="inlineStr">
        <is>
          <t>T-2AF2EE0F</t>
        </is>
      </c>
      <c r="B12" s="14" t="inlineStr">
        <is>
          <t>Internet of Things (IoT): архитектура, протоколы</t>
        </is>
      </c>
      <c r="C12" s="14" t="inlineStr">
        <is>
          <t>ОПКС</t>
        </is>
      </c>
      <c r="D12" s="15" t="inlineStr">
        <is>
          <t>Открыть →</t>
        </is>
      </c>
      <c r="E12" s="6" t="inlineStr"/>
      <c r="F12" s="6" t="inlineStr"/>
    </row>
    <row r="13" ht="48" customHeight="1">
      <c r="A13" s="16" t="inlineStr">
        <is>
          <t>T-33E76F66</t>
        </is>
      </c>
      <c r="B13" s="16" t="inlineStr">
        <is>
          <t>IP-адресация</t>
        </is>
      </c>
      <c r="C13" s="16" t="inlineStr">
        <is>
          <t>ОКМ</t>
        </is>
      </c>
      <c r="D13" s="17" t="inlineStr">
        <is>
          <t>Открыть →</t>
        </is>
      </c>
      <c r="E13" s="6" t="inlineStr"/>
      <c r="F13" s="6" t="inlineStr"/>
    </row>
    <row r="14" ht="48" customHeight="1">
      <c r="A14" s="14" t="inlineStr">
        <is>
          <t>T-9917B01E</t>
        </is>
      </c>
      <c r="B14" s="14" t="inlineStr">
        <is>
          <t>OSINT-инструменты</t>
        </is>
      </c>
      <c r="C14" s="14" t="inlineStr">
        <is>
          <t>РКИОК</t>
        </is>
      </c>
      <c r="D14" s="15" t="inlineStr">
        <is>
          <t>Открыть →</t>
        </is>
      </c>
      <c r="E14" s="6" t="inlineStr"/>
      <c r="F14" s="6" t="inlineStr"/>
    </row>
    <row r="15" ht="48" customHeight="1">
      <c r="A15" s="16" t="inlineStr">
        <is>
          <t>T-B82746ED</t>
        </is>
      </c>
      <c r="B15" s="16" t="inlineStr">
        <is>
          <t>SIEM: назначение, архитектура, нормализация и корреляция событий на базе Ntechnology SIEM</t>
        </is>
      </c>
      <c r="C15" s="16" t="inlineStr">
        <is>
          <t>РКИОК</t>
        </is>
      </c>
      <c r="D15" s="17" t="inlineStr">
        <is>
          <t>Открыть →</t>
        </is>
      </c>
      <c r="E15" s="6" t="inlineStr"/>
      <c r="F15" s="6" t="inlineStr"/>
    </row>
    <row r="16" ht="64" customHeight="1">
      <c r="A16" s="14" t="inlineStr">
        <is>
          <t>T-BF0DCE22</t>
        </is>
      </c>
      <c r="B16" s="14" t="inlineStr">
        <is>
          <t>SIEM-системы. Краткий обзор существующих решений. Сертифицированные open-source и коммерческие решения в Республике Беларусь</t>
        </is>
      </c>
      <c r="C16" s="14" t="inlineStr">
        <is>
          <t>ОКБО</t>
        </is>
      </c>
      <c r="D16" s="15" t="inlineStr">
        <is>
          <t>Открыть →</t>
        </is>
      </c>
      <c r="E16" s="6" t="inlineStr"/>
      <c r="F16" s="6" t="inlineStr"/>
    </row>
    <row r="17" ht="48" customHeight="1">
      <c r="A17" s="16" t="inlineStr">
        <is>
          <t>T-2D7EF13A</t>
        </is>
      </c>
      <c r="B17" s="16" t="inlineStr">
        <is>
          <t>Suricata – установка, настройка, правила. Написание правил нормализации для Ntechnology SIEM (NTECH SIEM)</t>
        </is>
      </c>
      <c r="C17" s="16" t="inlineStr">
        <is>
          <t>РКИОК</t>
        </is>
      </c>
      <c r="D17" s="17" t="inlineStr">
        <is>
          <t>Открыть →</t>
        </is>
      </c>
      <c r="E17" s="6" t="inlineStr"/>
      <c r="F17" s="6" t="inlineStr"/>
    </row>
    <row r="18" ht="48" customHeight="1">
      <c r="A18" s="14" t="inlineStr">
        <is>
          <t>T-18B4A131</t>
        </is>
      </c>
      <c r="B18" s="14" t="inlineStr">
        <is>
          <t>Автоматизация и цифровизация административных процедур</t>
        </is>
      </c>
      <c r="C18" s="14" t="inlineStr">
        <is>
          <t>ЦТГУ</t>
        </is>
      </c>
      <c r="D18" s="15" t="inlineStr">
        <is>
          <t>Открыть →</t>
        </is>
      </c>
      <c r="E18" s="6" t="inlineStr"/>
      <c r="F18" s="6" t="inlineStr"/>
    </row>
    <row r="19" ht="48" customHeight="1">
      <c r="A19" s="16" t="inlineStr">
        <is>
          <t>T-2C3B1F04</t>
        </is>
      </c>
      <c r="B19" s="16" t="inlineStr">
        <is>
          <t>Автоматизация процессов обеспечения кибербезопасности с использованием систем класса SGRC</t>
        </is>
      </c>
      <c r="C19" s="16" t="inlineStr">
        <is>
          <t>ККС</t>
        </is>
      </c>
      <c r="D19" s="17" t="inlineStr">
        <is>
          <t>Открыть →</t>
        </is>
      </c>
      <c r="E19" s="6" t="inlineStr"/>
      <c r="F19" s="6" t="inlineStr"/>
    </row>
    <row r="20" ht="48" customHeight="1">
      <c r="A20" s="14" t="inlineStr">
        <is>
          <t>T-E7C04975</t>
        </is>
      </c>
      <c r="B20" s="14" t="inlineStr">
        <is>
          <t>Агрегация каналов и отказоустойчивость: STP, LACP, балансировка</t>
        </is>
      </c>
      <c r="C20" s="14" t="inlineStr">
        <is>
          <t>ОПКС</t>
        </is>
      </c>
      <c r="D20" s="15" t="inlineStr">
        <is>
          <t>Открыть →</t>
        </is>
      </c>
      <c r="E20" s="6" t="inlineStr"/>
      <c r="F20" s="6" t="inlineStr"/>
    </row>
    <row r="21" ht="48" customHeight="1">
      <c r="A21" s="16" t="inlineStr">
        <is>
          <t>T-DA2CB29B</t>
        </is>
      </c>
      <c r="B21" s="16" t="inlineStr">
        <is>
          <t>Агрегация маршрутов</t>
        </is>
      </c>
      <c r="C21" s="16" t="inlineStr">
        <is>
          <t>ОКМ</t>
        </is>
      </c>
      <c r="D21" s="17" t="inlineStr">
        <is>
          <t>Открыть →</t>
        </is>
      </c>
      <c r="E21" s="6" t="inlineStr"/>
      <c r="F21" s="6" t="inlineStr"/>
    </row>
    <row r="22" ht="48" customHeight="1">
      <c r="A22" s="14" t="inlineStr">
        <is>
          <t>T-2E9CC8B0</t>
        </is>
      </c>
      <c r="B22" s="14" t="inlineStr">
        <is>
          <t>Анализ USB-устройств</t>
        </is>
      </c>
      <c r="C22" s="14" t="inlineStr">
        <is>
          <t>РКИОК</t>
        </is>
      </c>
      <c r="D22" s="15" t="inlineStr">
        <is>
          <t>Открыть →</t>
        </is>
      </c>
      <c r="E22" s="6" t="inlineStr"/>
      <c r="F22" s="6" t="inlineStr"/>
    </row>
    <row r="23" ht="48" customHeight="1">
      <c r="A23" s="16" t="inlineStr">
        <is>
          <t>T-124F3A12</t>
        </is>
      </c>
      <c r="B23" s="16" t="inlineStr">
        <is>
          <t>Анализ оперативной памяти</t>
        </is>
      </c>
      <c r="C23" s="16" t="inlineStr">
        <is>
          <t>РКИОК</t>
        </is>
      </c>
      <c r="D23" s="17" t="inlineStr">
        <is>
          <t>Открыть →</t>
        </is>
      </c>
      <c r="E23" s="6" t="inlineStr"/>
      <c r="F23" s="6" t="inlineStr"/>
    </row>
    <row r="24" ht="48" customHeight="1">
      <c r="A24" s="14" t="inlineStr">
        <is>
          <t>T-82A2100F</t>
        </is>
      </c>
      <c r="B24" s="14" t="inlineStr">
        <is>
          <t>Анализ сетевого трафика</t>
        </is>
      </c>
      <c r="C24" s="14" t="inlineStr">
        <is>
          <t>ПТИИМ</t>
        </is>
      </c>
      <c r="D24" s="15" t="inlineStr">
        <is>
          <t>Открыть →</t>
        </is>
      </c>
      <c r="E24" s="6" t="inlineStr"/>
      <c r="F24" s="6" t="inlineStr"/>
    </row>
    <row r="25" ht="48" customHeight="1">
      <c r="A25" s="16" t="inlineStr">
        <is>
          <t>T-0A58FEF1</t>
        </is>
      </c>
      <c r="B25" s="16" t="inlineStr">
        <is>
          <t>Анализ файловых систем</t>
        </is>
      </c>
      <c r="C25" s="16" t="inlineStr">
        <is>
          <t>РКИОК</t>
        </is>
      </c>
      <c r="D25" s="17" t="inlineStr">
        <is>
          <t>Открыть →</t>
        </is>
      </c>
      <c r="E25" s="6" t="inlineStr"/>
      <c r="F25" s="6" t="inlineStr"/>
    </row>
    <row r="26" ht="48" customHeight="1">
      <c r="A26" s="14" t="inlineStr">
        <is>
          <t>T-721A690A</t>
        </is>
      </c>
      <c r="B26" s="14" t="inlineStr">
        <is>
          <t>Архитектура SIEM. Установка и настройка основных компонентов</t>
        </is>
      </c>
      <c r="C26" s="14" t="inlineStr">
        <is>
          <t>ОКБО</t>
        </is>
      </c>
      <c r="D26" s="15" t="inlineStr">
        <is>
          <t>Открыть →</t>
        </is>
      </c>
      <c r="E26" s="6" t="inlineStr"/>
      <c r="F26" s="6" t="inlineStr"/>
    </row>
    <row r="27" ht="48" customHeight="1">
      <c r="A27" s="16" t="inlineStr">
        <is>
          <t>T-8AC0A0F0</t>
        </is>
      </c>
      <c r="B27" s="16" t="inlineStr">
        <is>
          <t>Архитектура автоматизированного ЦКБ</t>
        </is>
      </c>
      <c r="C27" s="16" t="inlineStr">
        <is>
          <t>РКИОК</t>
        </is>
      </c>
      <c r="D27" s="17" t="inlineStr">
        <is>
          <t>Открыть →</t>
        </is>
      </c>
      <c r="E27" s="6" t="inlineStr"/>
      <c r="F27" s="6" t="inlineStr"/>
    </row>
    <row r="28" ht="48" customHeight="1">
      <c r="A28" s="14" t="inlineStr">
        <is>
          <t>T-EB32702A</t>
        </is>
      </c>
      <c r="B28" s="14" t="inlineStr">
        <is>
          <t>Архитектура информационных систем и их активы</t>
        </is>
      </c>
      <c r="C28" s="14" t="inlineStr">
        <is>
          <t>ТЗПД</t>
        </is>
      </c>
      <c r="D28" s="15" t="inlineStr">
        <is>
          <t>Открыть →</t>
        </is>
      </c>
      <c r="E28" s="6" t="inlineStr"/>
      <c r="F28" s="6" t="inlineStr"/>
    </row>
    <row r="29" ht="48" customHeight="1">
      <c r="A29" s="16" t="inlineStr">
        <is>
          <t>T-C853E85D</t>
        </is>
      </c>
      <c r="B29" s="16" t="inlineStr">
        <is>
          <t>Атаки на LLM</t>
        </is>
      </c>
      <c r="C29" s="16" t="inlineStr">
        <is>
          <t>ПТИИМ</t>
        </is>
      </c>
      <c r="D29" s="17" t="inlineStr">
        <is>
          <t>Открыть →</t>
        </is>
      </c>
      <c r="E29" s="6" t="inlineStr"/>
      <c r="F29" s="6" t="inlineStr"/>
    </row>
    <row r="30" ht="48" customHeight="1">
      <c r="A30" s="14" t="inlineStr">
        <is>
          <t>T-49C7CCD3</t>
        </is>
      </c>
      <c r="B30" s="14" t="inlineStr">
        <is>
          <t>Аттестация систем защиты информации</t>
        </is>
      </c>
      <c r="C30" s="14" t="inlineStr">
        <is>
          <t>БКТ; ЗИКС</t>
        </is>
      </c>
      <c r="D30" s="15" t="inlineStr">
        <is>
          <t>Открыть →</t>
        </is>
      </c>
      <c r="E30" s="6" t="inlineStr"/>
      <c r="F30" s="6" t="inlineStr"/>
    </row>
    <row r="31" ht="48" customHeight="1">
      <c r="A31" s="16" t="inlineStr">
        <is>
          <t>T-3417D5FF</t>
        </is>
      </c>
      <c r="B31" s="16" t="inlineStr">
        <is>
          <t>Аудит безопасности</t>
        </is>
      </c>
      <c r="C31" s="16" t="inlineStr">
        <is>
          <t>ПСАЭ</t>
        </is>
      </c>
      <c r="D31" s="17" t="inlineStr">
        <is>
          <t>Открыть →</t>
        </is>
      </c>
      <c r="E31" s="6" t="inlineStr"/>
      <c r="F31" s="6" t="inlineStr"/>
    </row>
    <row r="32" ht="48" customHeight="1">
      <c r="A32" s="14" t="inlineStr">
        <is>
          <t>T-A5B00DD0</t>
        </is>
      </c>
      <c r="B32" s="14" t="inlineStr">
        <is>
          <t>Аудит кибербезопасности</t>
        </is>
      </c>
      <c r="C32" s="14" t="inlineStr">
        <is>
          <t>КВОИ</t>
        </is>
      </c>
      <c r="D32" s="15" t="inlineStr">
        <is>
          <t>Открыть →</t>
        </is>
      </c>
      <c r="E32" s="6" t="inlineStr"/>
      <c r="F32" s="6" t="inlineStr"/>
    </row>
    <row r="33" ht="48" customHeight="1">
      <c r="A33" s="16" t="inlineStr">
        <is>
          <t>T-C6EB734F</t>
        </is>
      </c>
      <c r="B33" s="16" t="inlineStr">
        <is>
          <t>Аудит кибербезопасности. Аттестация систем защиты информации информационных систем</t>
        </is>
      </c>
      <c r="C33" s="16" t="inlineStr">
        <is>
          <t>ТЗПД</t>
        </is>
      </c>
      <c r="D33" s="17" t="inlineStr">
        <is>
          <t>Открыть →</t>
        </is>
      </c>
      <c r="E33" s="6" t="inlineStr"/>
      <c r="F33" s="6" t="inlineStr"/>
    </row>
    <row r="34" ht="48" customHeight="1">
      <c r="A34" s="14" t="inlineStr">
        <is>
          <t>T-7D7AC022</t>
        </is>
      </c>
      <c r="B34" s="14" t="inlineStr">
        <is>
          <t>Аудит кибербезопасности в сфере здравоохранения. Аттестация систем защиты информации информационных систем</t>
        </is>
      </c>
      <c r="C34" s="14" t="inlineStr">
        <is>
          <t>ЗИОЗ</t>
        </is>
      </c>
      <c r="D34" s="15" t="inlineStr">
        <is>
          <t>Открыть →</t>
        </is>
      </c>
      <c r="E34" s="6" t="inlineStr"/>
      <c r="F34" s="6" t="inlineStr"/>
    </row>
    <row r="35" ht="48" customHeight="1">
      <c r="A35" s="16" t="inlineStr">
        <is>
          <t>T-300F850C</t>
        </is>
      </c>
      <c r="B35" s="16" t="inlineStr">
        <is>
          <t>Аудит системы информационной безопасности критически важного объекта информатизации</t>
        </is>
      </c>
      <c r="C35" s="16" t="inlineStr">
        <is>
          <t>КВОИ</t>
        </is>
      </c>
      <c r="D35" s="17" t="inlineStr">
        <is>
          <t>Открыть →</t>
        </is>
      </c>
      <c r="E35" s="6" t="inlineStr"/>
      <c r="F35" s="6" t="inlineStr"/>
    </row>
    <row r="36" ht="48" customHeight="1">
      <c r="A36" s="14" t="inlineStr">
        <is>
          <t>T-0F7D0DE5</t>
        </is>
      </c>
      <c r="B36" s="14" t="inlineStr">
        <is>
          <t>Аутентификация: пароли, токены, биометрия, MFA</t>
        </is>
      </c>
      <c r="C36" s="14" t="inlineStr">
        <is>
          <t>ОКБО</t>
        </is>
      </c>
      <c r="D36" s="15" t="inlineStr">
        <is>
          <t>Открыть →</t>
        </is>
      </c>
      <c r="E36" s="6" t="inlineStr"/>
      <c r="F36" s="6" t="inlineStr"/>
    </row>
    <row r="37" ht="48" customHeight="1">
      <c r="A37" s="16" t="inlineStr">
        <is>
          <t>T-7CAA0DEF</t>
        </is>
      </c>
      <c r="B37" s="16" t="inlineStr">
        <is>
          <t>Базовая конфигурация Sandbox: загрузка и анализ образца вредоносного документа, демонстрация вредоноса</t>
        </is>
      </c>
      <c r="C37" s="16" t="inlineStr">
        <is>
          <t>ОКБО</t>
        </is>
      </c>
      <c r="D37" s="17" t="inlineStr">
        <is>
          <t>Открыть →</t>
        </is>
      </c>
      <c r="E37" s="6" t="inlineStr"/>
      <c r="F37" s="6" t="inlineStr"/>
    </row>
    <row r="38" ht="48" customHeight="1">
      <c r="A38" s="14" t="inlineStr">
        <is>
          <t>T-FCD91ADA</t>
        </is>
      </c>
      <c r="B38" s="14" t="inlineStr">
        <is>
          <t>Безопасность веб-приложений</t>
        </is>
      </c>
      <c r="C38" s="14" t="inlineStr">
        <is>
          <t>БКТ</t>
        </is>
      </c>
      <c r="D38" s="15" t="inlineStr">
        <is>
          <t>Открыть →</t>
        </is>
      </c>
      <c r="E38" s="6" t="inlineStr"/>
      <c r="F38" s="6" t="inlineStr"/>
    </row>
    <row r="39" ht="48" customHeight="1">
      <c r="A39" s="16" t="inlineStr">
        <is>
          <t>T-A65EB46E</t>
        </is>
      </c>
      <c r="B39" s="16" t="inlineStr">
        <is>
          <t>Безопасность машинного обучения</t>
        </is>
      </c>
      <c r="C39" s="16" t="inlineStr">
        <is>
          <t>ПТИИМ</t>
        </is>
      </c>
      <c r="D39" s="17" t="inlineStr">
        <is>
          <t>Открыть →</t>
        </is>
      </c>
      <c r="E39" s="6" t="inlineStr"/>
      <c r="F39" s="6" t="inlineStr"/>
    </row>
    <row r="40" ht="48" customHeight="1">
      <c r="A40" s="14" t="inlineStr">
        <is>
          <t>T-85FB67F8</t>
        </is>
      </c>
      <c r="B40" s="14" t="inlineStr">
        <is>
          <t>Безопасность технологий виртуализации</t>
        </is>
      </c>
      <c r="C40" s="14" t="inlineStr">
        <is>
          <t>ККС</t>
        </is>
      </c>
      <c r="D40" s="15" t="inlineStr">
        <is>
          <t>Открыть →</t>
        </is>
      </c>
      <c r="E40" s="6" t="inlineStr"/>
      <c r="F40" s="6" t="inlineStr"/>
    </row>
    <row r="41" ht="48" customHeight="1">
      <c r="A41" s="16" t="inlineStr">
        <is>
          <t>T-AB9839DD</t>
        </is>
      </c>
      <c r="B41" s="16" t="inlineStr">
        <is>
          <t>Безопасность технологий виртуализации и облачных вычислений</t>
        </is>
      </c>
      <c r="C41" s="16" t="inlineStr">
        <is>
          <t>КО</t>
        </is>
      </c>
      <c r="D41" s="17" t="inlineStr">
        <is>
          <t>Открыть →</t>
        </is>
      </c>
      <c r="E41" s="6" t="inlineStr"/>
      <c r="F41" s="6" t="inlineStr"/>
    </row>
    <row r="42" ht="48" customHeight="1">
      <c r="A42" s="14" t="inlineStr">
        <is>
          <t>T-D13A009F</t>
        </is>
      </c>
      <c r="B42" s="14" t="inlineStr">
        <is>
          <t>Безопасность уровня операционных систем</t>
        </is>
      </c>
      <c r="C42" s="14" t="inlineStr">
        <is>
          <t>КО; ТК</t>
        </is>
      </c>
      <c r="D42" s="15" t="inlineStr">
        <is>
          <t>Открыть →</t>
        </is>
      </c>
      <c r="E42" s="6" t="inlineStr"/>
      <c r="F42" s="6" t="inlineStr"/>
    </row>
    <row r="43" ht="48" customHeight="1">
      <c r="A43" s="16" t="inlineStr">
        <is>
          <t>T-B7EB0CC2</t>
        </is>
      </c>
      <c r="B43" s="16" t="inlineStr">
        <is>
          <t>Безопасность уровня операционных систем (узлов)</t>
        </is>
      </c>
      <c r="C43" s="16" t="inlineStr">
        <is>
          <t>БКТ; ККС</t>
        </is>
      </c>
      <c r="D43" s="17" t="inlineStr">
        <is>
          <t>Открыть →</t>
        </is>
      </c>
      <c r="E43" s="6" t="inlineStr"/>
      <c r="F43" s="6" t="inlineStr"/>
    </row>
    <row r="44" ht="48" customHeight="1">
      <c r="A44" s="14" t="inlineStr">
        <is>
          <t>T-2CACCDB2</t>
        </is>
      </c>
      <c r="B44" s="14" t="inlineStr">
        <is>
          <t>Введение в ИИ и машинное обучение</t>
        </is>
      </c>
      <c r="C44" s="14" t="inlineStr">
        <is>
          <t>ПТИИМ</t>
        </is>
      </c>
      <c r="D44" s="15" t="inlineStr">
        <is>
          <t>Открыть →</t>
        </is>
      </c>
      <c r="E44" s="6" t="inlineStr"/>
      <c r="F44" s="6" t="inlineStr"/>
    </row>
    <row r="45" ht="48" customHeight="1">
      <c r="A45" s="16" t="inlineStr">
        <is>
          <t>T-D2B0FD7A</t>
        </is>
      </c>
      <c r="B45" s="16" t="inlineStr">
        <is>
          <t>Введение в криптографию</t>
        </is>
      </c>
      <c r="C45" s="16" t="inlineStr">
        <is>
          <t>КЗИ</t>
        </is>
      </c>
      <c r="D45" s="17" t="inlineStr">
        <is>
          <t>Открыть →</t>
        </is>
      </c>
      <c r="E45" s="6" t="inlineStr"/>
      <c r="F45" s="6" t="inlineStr"/>
    </row>
    <row r="46" ht="48" customHeight="1">
      <c r="A46" s="14" t="inlineStr">
        <is>
          <t>T-C63BA7BB</t>
        </is>
      </c>
      <c r="B46" s="14" t="inlineStr">
        <is>
          <t>Виды spoofing-кибератак</t>
        </is>
      </c>
      <c r="C46" s="14" t="inlineStr">
        <is>
          <t>ТК</t>
        </is>
      </c>
      <c r="D46" s="15" t="inlineStr">
        <is>
          <t>Открыть →</t>
        </is>
      </c>
      <c r="E46" s="6" t="inlineStr"/>
      <c r="F46" s="6" t="inlineStr"/>
    </row>
    <row r="47" ht="48" customHeight="1">
      <c r="A47" s="16" t="inlineStr">
        <is>
          <t>T-D7702E7D</t>
        </is>
      </c>
      <c r="B47" s="16" t="inlineStr">
        <is>
          <t>Виды маршрутизации. Статическая маршрутизация</t>
        </is>
      </c>
      <c r="C47" s="16" t="inlineStr">
        <is>
          <t>ОКМ</t>
        </is>
      </c>
      <c r="D47" s="17" t="inlineStr">
        <is>
          <t>Открыть →</t>
        </is>
      </c>
      <c r="E47" s="6" t="inlineStr"/>
      <c r="F47" s="6" t="inlineStr"/>
    </row>
    <row r="48" ht="48" customHeight="1">
      <c r="A48" s="14" t="inlineStr">
        <is>
          <t>T-7B176FFE</t>
        </is>
      </c>
      <c r="B48" s="14" t="inlineStr">
        <is>
          <t>Виртуальные локальные сети (VLAN). Маршрутизация между VLAN</t>
        </is>
      </c>
      <c r="C48" s="14" t="inlineStr">
        <is>
          <t>ОКМ</t>
        </is>
      </c>
      <c r="D48" s="15" t="inlineStr">
        <is>
          <t>Открыть →</t>
        </is>
      </c>
      <c r="E48" s="6" t="inlineStr"/>
      <c r="F48" s="6" t="inlineStr"/>
    </row>
    <row r="49" ht="48" customHeight="1">
      <c r="A49" s="16" t="inlineStr">
        <is>
          <t>T-A8BFC176</t>
        </is>
      </c>
      <c r="B49" s="16" t="inlineStr">
        <is>
          <t>Внутренние нарушители</t>
        </is>
      </c>
      <c r="C49" s="16" t="inlineStr">
        <is>
          <t>ККС</t>
        </is>
      </c>
      <c r="D49" s="17" t="inlineStr">
        <is>
          <t>Открыть →</t>
        </is>
      </c>
      <c r="E49" s="6" t="inlineStr"/>
      <c r="F49" s="6" t="inlineStr"/>
    </row>
    <row r="50" ht="48" customHeight="1">
      <c r="A50" s="14" t="inlineStr">
        <is>
          <t>T-83EA5A5F</t>
        </is>
      </c>
      <c r="B50" s="14" t="inlineStr">
        <is>
          <t>Вопросы защиты сетевых взаимодействий</t>
        </is>
      </c>
      <c r="C50" s="14" t="inlineStr">
        <is>
          <t>БКТ; ККС</t>
        </is>
      </c>
      <c r="D50" s="15" t="inlineStr">
        <is>
          <t>Открыть →</t>
        </is>
      </c>
      <c r="E50" s="6" t="inlineStr"/>
      <c r="F50" s="6" t="inlineStr"/>
    </row>
    <row r="51" ht="48" customHeight="1">
      <c r="A51" s="16" t="inlineStr">
        <is>
          <t>T-A086950E</t>
        </is>
      </c>
      <c r="B51" s="16" t="inlineStr">
        <is>
          <t>Вопросы повышения надежности информационной инфраструктуры</t>
        </is>
      </c>
      <c r="C51" s="16" t="inlineStr">
        <is>
          <t>ККС</t>
        </is>
      </c>
      <c r="D51" s="17" t="inlineStr">
        <is>
          <t>Открыть →</t>
        </is>
      </c>
      <c r="E51" s="6" t="inlineStr"/>
      <c r="F51" s="6" t="inlineStr"/>
    </row>
    <row r="52" ht="48" customHeight="1">
      <c r="A52" s="14" t="inlineStr">
        <is>
          <t>T-0D971910</t>
        </is>
      </c>
      <c r="B52" s="14" t="inlineStr">
        <is>
          <t>Встроенные действия: блокировка IP, отправка email, создание тикета</t>
        </is>
      </c>
      <c r="C52" s="14" t="inlineStr">
        <is>
          <t>РКИОК</t>
        </is>
      </c>
      <c r="D52" s="15" t="inlineStr">
        <is>
          <t>Открыть →</t>
        </is>
      </c>
      <c r="E52" s="6" t="inlineStr"/>
      <c r="F52" s="6" t="inlineStr"/>
    </row>
    <row r="53" ht="48" customHeight="1">
      <c r="A53" s="16" t="inlineStr">
        <is>
          <t>T-C8A5D5B3</t>
        </is>
      </c>
      <c r="B53" s="16" t="inlineStr">
        <is>
          <t>Генеративный ИИ и безопасность</t>
        </is>
      </c>
      <c r="C53" s="16" t="inlineStr">
        <is>
          <t>ПТИИМ</t>
        </is>
      </c>
      <c r="D53" s="17" t="inlineStr">
        <is>
          <t>Открыть →</t>
        </is>
      </c>
      <c r="E53" s="6" t="inlineStr"/>
      <c r="F53" s="6" t="inlineStr"/>
    </row>
    <row r="54" ht="48" customHeight="1">
      <c r="A54" s="14" t="inlineStr">
        <is>
          <t>T-5D6D33FF</t>
        </is>
      </c>
      <c r="B54" s="14" t="inlineStr">
        <is>
          <t>Голосовая и видеосвязь в IP-сетях (VoIP/Video over IP)</t>
        </is>
      </c>
      <c r="C54" s="14" t="inlineStr">
        <is>
          <t>ОПКС</t>
        </is>
      </c>
      <c r="D54" s="15" t="inlineStr">
        <is>
          <t>Открыть →</t>
        </is>
      </c>
      <c r="E54" s="6" t="inlineStr"/>
      <c r="F54" s="6" t="inlineStr"/>
    </row>
    <row r="55" ht="48" customHeight="1">
      <c r="A55" s="16" t="inlineStr">
        <is>
          <t>T-49F69CF3</t>
        </is>
      </c>
      <c r="B55" s="16" t="inlineStr">
        <is>
          <t>Государственная политика и регулирование в сфере цифровой трансформации государственного управления</t>
        </is>
      </c>
      <c r="C55" s="16" t="inlineStr">
        <is>
          <t>ЦТГУ</t>
        </is>
      </c>
      <c r="D55" s="17" t="inlineStr">
        <is>
          <t>Открыть →</t>
        </is>
      </c>
      <c r="E55" s="6" t="inlineStr"/>
      <c r="F55" s="6" t="inlineStr"/>
    </row>
    <row r="56" ht="48" customHeight="1">
      <c r="A56" s="14" t="inlineStr">
        <is>
          <t>T-AABF3943</t>
        </is>
      </c>
      <c r="B56" s="14" t="inlineStr">
        <is>
          <t>Государственная система управления открытыми ключами проверки электронной цифровой подписи</t>
        </is>
      </c>
      <c r="C56" s="14" t="inlineStr">
        <is>
          <t>КЗИ</t>
        </is>
      </c>
      <c r="D56" s="15" t="inlineStr">
        <is>
          <t>Открыть →</t>
        </is>
      </c>
      <c r="E56" s="6" t="inlineStr"/>
      <c r="F56" s="6" t="inlineStr"/>
    </row>
    <row r="57" ht="64" customHeight="1">
      <c r="A57" s="16" t="inlineStr">
        <is>
          <t>T-F8C4AE60</t>
        </is>
      </c>
      <c r="B57" s="16" t="inlineStr">
        <is>
          <t>Государственное регулирование в области электронного документа и электронной цифровой подписи в Республике Беларусь</t>
        </is>
      </c>
      <c r="C57" s="16" t="inlineStr">
        <is>
          <t>КЗИ</t>
        </is>
      </c>
      <c r="D57" s="17" t="inlineStr">
        <is>
          <t>Открыть →</t>
        </is>
      </c>
      <c r="E57" s="6" t="inlineStr"/>
      <c r="F57" s="6" t="inlineStr"/>
    </row>
    <row r="58" ht="64" customHeight="1">
      <c r="A58" s="14" t="inlineStr">
        <is>
          <t>T-9FE9F17D</t>
        </is>
      </c>
      <c r="B58" s="14" t="inlineStr">
        <is>
          <t>Государственное регулирование деятельности в области обеспечения информационной безопасности в Республике Беларусь</t>
        </is>
      </c>
      <c r="C58" s="14" t="inlineStr">
        <is>
          <t>КЗИ</t>
        </is>
      </c>
      <c r="D58" s="15" t="inlineStr">
        <is>
          <t>Открыть →</t>
        </is>
      </c>
      <c r="E58" s="6" t="inlineStr"/>
      <c r="F58" s="6" t="inlineStr"/>
    </row>
    <row r="59" ht="64" customHeight="1">
      <c r="A59" s="16" t="inlineStr">
        <is>
          <t>T-F8DB456A</t>
        </is>
      </c>
      <c r="B59" s="16" t="inlineStr">
        <is>
          <t>Государственное регулирование деятельности в области обеспечения кибербезопасности</t>
        </is>
      </c>
      <c r="C59" s="16" t="inlineStr">
        <is>
          <t>АКБ; АУРИК; БКТ; ЗИКС; ЗИОЗ; КВОИ; ККС; КО; ОКБО; ОКМ; ОПКС; ТК</t>
        </is>
      </c>
      <c r="D59" s="17" t="inlineStr">
        <is>
          <t>Открыть →</t>
        </is>
      </c>
      <c r="E59" s="6" t="inlineStr"/>
      <c r="F59" s="6" t="inlineStr"/>
    </row>
    <row r="60" ht="64" customHeight="1">
      <c r="A60" s="14" t="inlineStr">
        <is>
          <t>T-2A62E6AC</t>
        </is>
      </c>
      <c r="B60" s="14" t="inlineStr">
        <is>
          <t>Государственное регулирование деятельности в области обеспечения кибербезопасности. Национальная система обеспечения кибербезопасности</t>
        </is>
      </c>
      <c r="C60" s="14" t="inlineStr">
        <is>
          <t>ТЗПД</t>
        </is>
      </c>
      <c r="D60" s="15" t="inlineStr">
        <is>
          <t>Открыть →</t>
        </is>
      </c>
      <c r="E60" s="6" t="inlineStr"/>
      <c r="F60" s="6" t="inlineStr"/>
    </row>
    <row r="61" ht="48" customHeight="1">
      <c r="A61" s="16" t="inlineStr">
        <is>
          <t>T-5B92E4D8</t>
        </is>
      </c>
      <c r="B61" s="16" t="inlineStr">
        <is>
          <t>Государственное регулирование деятельности в сфере обеспечения информационной безопасности</t>
        </is>
      </c>
      <c r="C61" s="16" t="inlineStr">
        <is>
          <t>ПСАЭ</t>
        </is>
      </c>
      <c r="D61" s="17" t="inlineStr">
        <is>
          <t>Открыть →</t>
        </is>
      </c>
      <c r="E61" s="6" t="inlineStr"/>
      <c r="F61" s="6" t="inlineStr"/>
    </row>
    <row r="62" ht="48" customHeight="1">
      <c r="A62" s="14" t="inlineStr">
        <is>
          <t>T-F0B120F4</t>
        </is>
      </c>
      <c r="B62" s="14" t="inlineStr">
        <is>
          <t>Данные и подготовка данных</t>
        </is>
      </c>
      <c r="C62" s="14" t="inlineStr">
        <is>
          <t>ПТИИМ</t>
        </is>
      </c>
      <c r="D62" s="15" t="inlineStr">
        <is>
          <t>Открыть →</t>
        </is>
      </c>
      <c r="E62" s="6" t="inlineStr"/>
      <c r="F62" s="6" t="inlineStr"/>
    </row>
    <row r="63" ht="48" customHeight="1">
      <c r="A63" s="16" t="inlineStr">
        <is>
          <t>T-50D84778</t>
        </is>
      </c>
      <c r="B63" s="16" t="inlineStr">
        <is>
          <t>Динамическая маршрутизация: протоколы RIP, OSPF, EIGRP</t>
        </is>
      </c>
      <c r="C63" s="16" t="inlineStr">
        <is>
          <t>ОКМ</t>
        </is>
      </c>
      <c r="D63" s="17" t="inlineStr">
        <is>
          <t>Открыть →</t>
        </is>
      </c>
      <c r="E63" s="6" t="inlineStr"/>
      <c r="F63" s="6" t="inlineStr"/>
    </row>
    <row r="64" ht="48" customHeight="1">
      <c r="A64" s="14" t="inlineStr">
        <is>
          <t>T-4004C45F</t>
        </is>
      </c>
      <c r="B64" s="14" t="inlineStr">
        <is>
          <t>Жизненный цикл инцидента</t>
        </is>
      </c>
      <c r="C64" s="14" t="inlineStr">
        <is>
          <t>РКИОК</t>
        </is>
      </c>
      <c r="D64" s="15" t="inlineStr">
        <is>
          <t>Открыть →</t>
        </is>
      </c>
      <c r="E64" s="6" t="inlineStr"/>
      <c r="F64" s="6" t="inlineStr"/>
    </row>
    <row r="65" ht="48" customHeight="1">
      <c r="A65" s="16" t="inlineStr">
        <is>
          <t>T-9ADA674B</t>
        </is>
      </c>
      <c r="B65" s="16" t="inlineStr">
        <is>
          <t>Законодательство и нормативные документы в области информационной безопасности</t>
        </is>
      </c>
      <c r="C65" s="16" t="inlineStr">
        <is>
          <t>РКИОК</t>
        </is>
      </c>
      <c r="D65" s="17" t="inlineStr">
        <is>
          <t>Открыть →</t>
        </is>
      </c>
      <c r="E65" s="6" t="inlineStr"/>
      <c r="F65" s="6" t="inlineStr"/>
    </row>
    <row r="66" ht="48" customHeight="1">
      <c r="A66" s="14" t="inlineStr">
        <is>
          <t>T-B8B55CB7</t>
        </is>
      </c>
      <c r="B66" s="14" t="inlineStr">
        <is>
          <t>Законодательство о персональных данных</t>
        </is>
      </c>
      <c r="C66" s="14" t="inlineStr">
        <is>
          <t>ТЗПД</t>
        </is>
      </c>
      <c r="D66" s="15" t="inlineStr">
        <is>
          <t>Открыть →</t>
        </is>
      </c>
      <c r="E66" s="6" t="inlineStr"/>
      <c r="F66" s="6" t="inlineStr"/>
    </row>
    <row r="67" ht="48" customHeight="1">
      <c r="A67" s="16" t="inlineStr">
        <is>
          <t>T-DB38D0C5</t>
        </is>
      </c>
      <c r="B67" s="16" t="inlineStr">
        <is>
          <t>Защита от вредоносного программного обеспечения</t>
        </is>
      </c>
      <c r="C67" s="16" t="inlineStr">
        <is>
          <t>БКТ</t>
        </is>
      </c>
      <c r="D67" s="17" t="inlineStr">
        <is>
          <t>Открыть →</t>
        </is>
      </c>
      <c r="E67" s="6" t="inlineStr"/>
      <c r="F67" s="6" t="inlineStr"/>
    </row>
    <row r="68" ht="48" customHeight="1">
      <c r="A68" s="14" t="inlineStr">
        <is>
          <t>T-8316B0A4</t>
        </is>
      </c>
      <c r="B68" s="14" t="inlineStr">
        <is>
          <t>Защита от вредоносных программ</t>
        </is>
      </c>
      <c r="C68" s="14" t="inlineStr">
        <is>
          <t>ККС</t>
        </is>
      </c>
      <c r="D68" s="15" t="inlineStr">
        <is>
          <t>Открыть →</t>
        </is>
      </c>
      <c r="E68" s="6" t="inlineStr"/>
      <c r="F68" s="6" t="inlineStr"/>
    </row>
    <row r="69" ht="48" customHeight="1">
      <c r="A69" s="16" t="inlineStr">
        <is>
          <t>T-5BF8DD35</t>
        </is>
      </c>
      <c r="B69" s="16" t="inlineStr">
        <is>
          <t>Защищенные виртуальные частные сети VPN</t>
        </is>
      </c>
      <c r="C69" s="16" t="inlineStr">
        <is>
          <t>ЗИКС</t>
        </is>
      </c>
      <c r="D69" s="17" t="inlineStr">
        <is>
          <t>Открыть →</t>
        </is>
      </c>
      <c r="E69" s="6" t="inlineStr"/>
      <c r="F69" s="6" t="inlineStr"/>
    </row>
    <row r="70" ht="64" customHeight="1">
      <c r="A70" s="14" t="inlineStr">
        <is>
          <t>T-BF124D0A</t>
        </is>
      </c>
      <c r="B70" s="14" t="inlineStr">
        <is>
          <t>Знакомство с интерфейсами SOAR и TI-платформ (демо или песочница). Анализ реальных TI-отчетов (Mandiant, Recorded Future и др.)</t>
        </is>
      </c>
      <c r="C70" s="14" t="inlineStr">
        <is>
          <t>РКИОК</t>
        </is>
      </c>
      <c r="D70" s="15" t="inlineStr">
        <is>
          <t>Открыть →</t>
        </is>
      </c>
      <c r="E70" s="6" t="inlineStr"/>
      <c r="F70" s="6" t="inlineStr"/>
    </row>
    <row r="71" ht="48" customHeight="1">
      <c r="A71" s="16" t="inlineStr">
        <is>
          <t>T-709CA1C5</t>
        </is>
      </c>
      <c r="B71" s="16" t="inlineStr">
        <is>
          <t>Инвентаризация активов. SOAR</t>
        </is>
      </c>
      <c r="C71" s="16" t="inlineStr">
        <is>
          <t>ПСАЭ</t>
        </is>
      </c>
      <c r="D71" s="17" t="inlineStr">
        <is>
          <t>Открыть →</t>
        </is>
      </c>
      <c r="E71" s="6" t="inlineStr"/>
      <c r="F71" s="6" t="inlineStr"/>
    </row>
    <row r="72" ht="48" customHeight="1">
      <c r="A72" s="14" t="inlineStr">
        <is>
          <t>T-0DF241E9</t>
        </is>
      </c>
      <c r="B72" s="14" t="inlineStr">
        <is>
          <t>Инструменты IDS/IPS: Snort, Suricata</t>
        </is>
      </c>
      <c r="C72" s="14" t="inlineStr">
        <is>
          <t>РКИОК</t>
        </is>
      </c>
      <c r="D72" s="15" t="inlineStr">
        <is>
          <t>Открыть →</t>
        </is>
      </c>
      <c r="E72" s="6" t="inlineStr"/>
      <c r="F72" s="6" t="inlineStr"/>
    </row>
    <row r="73" ht="48" customHeight="1">
      <c r="A73" s="16" t="inlineStr">
        <is>
          <t>T-20779565</t>
        </is>
      </c>
      <c r="B73" s="16" t="inlineStr">
        <is>
          <t>Интеграция с SIEM (MaxPatrol SIEM, Kuma, NTechnology SIEM)</t>
        </is>
      </c>
      <c r="C73" s="16" t="inlineStr">
        <is>
          <t>РКИОК</t>
        </is>
      </c>
      <c r="D73" s="17" t="inlineStr">
        <is>
          <t>Открыть →</t>
        </is>
      </c>
      <c r="E73" s="6" t="inlineStr"/>
      <c r="F73" s="6" t="inlineStr"/>
    </row>
    <row r="74" ht="48" customHeight="1">
      <c r="A74" s="14" t="inlineStr">
        <is>
          <t>T-841665A3</t>
        </is>
      </c>
      <c r="B74" s="14" t="inlineStr">
        <is>
          <t>Интеграция с системами активного реагирования и источниками контекста</t>
        </is>
      </c>
      <c r="C74" s="14" t="inlineStr">
        <is>
          <t>РКИОК</t>
        </is>
      </c>
      <c r="D74" s="15" t="inlineStr">
        <is>
          <t>Открыть →</t>
        </is>
      </c>
      <c r="E74" s="6" t="inlineStr"/>
      <c r="F74" s="6" t="inlineStr"/>
    </row>
    <row r="75" ht="48" customHeight="1">
      <c r="A75" s="16" t="inlineStr">
        <is>
          <t>T-EC317E15</t>
        </is>
      </c>
      <c r="B75" s="16" t="inlineStr">
        <is>
          <t>Информационная безопасность, защита информации. Методология</t>
        </is>
      </c>
      <c r="C75" s="16" t="inlineStr">
        <is>
          <t>ПСАЭ</t>
        </is>
      </c>
      <c r="D75" s="17" t="inlineStr">
        <is>
          <t>Открыть →</t>
        </is>
      </c>
      <c r="E75" s="6" t="inlineStr"/>
      <c r="F75" s="6" t="inlineStr"/>
    </row>
    <row r="76" ht="48" customHeight="1">
      <c r="A76" s="14" t="inlineStr">
        <is>
          <t>T-E5E1DCD3</t>
        </is>
      </c>
      <c r="B76" s="14" t="inlineStr">
        <is>
          <t>Информационная безопасность цифрового государства</t>
        </is>
      </c>
      <c r="C76" s="14" t="inlineStr">
        <is>
          <t>ЦТГУ</t>
        </is>
      </c>
      <c r="D76" s="15" t="inlineStr">
        <is>
          <t>Открыть →</t>
        </is>
      </c>
      <c r="E76" s="6" t="inlineStr"/>
      <c r="F76" s="6" t="inlineStr"/>
    </row>
    <row r="77" ht="48" customHeight="1">
      <c r="A77" s="16" t="inlineStr">
        <is>
          <t>T-0CA5BB52</t>
        </is>
      </c>
      <c r="B77" s="16" t="inlineStr">
        <is>
          <t>Инфраструктура открытых ключей. Основные компоненты</t>
        </is>
      </c>
      <c r="C77" s="16" t="inlineStr">
        <is>
          <t>КЗИ</t>
        </is>
      </c>
      <c r="D77" s="17" t="inlineStr">
        <is>
          <t>Открыть →</t>
        </is>
      </c>
      <c r="E77" s="6" t="inlineStr"/>
      <c r="F77" s="6" t="inlineStr"/>
    </row>
    <row r="78" ht="48" customHeight="1">
      <c r="A78" s="14" t="inlineStr">
        <is>
          <t>T-DA989476</t>
        </is>
      </c>
      <c r="B78" s="14" t="inlineStr">
        <is>
          <t>Искусственный интеллект и управление данными в государственном управлении</t>
        </is>
      </c>
      <c r="C78" s="14" t="inlineStr">
        <is>
          <t>ЦТГУ</t>
        </is>
      </c>
      <c r="D78" s="15" t="inlineStr">
        <is>
          <t>Открыть →</t>
        </is>
      </c>
      <c r="E78" s="6" t="inlineStr"/>
      <c r="F78" s="6" t="inlineStr"/>
    </row>
    <row r="79" ht="48" customHeight="1">
      <c r="A79" s="16" t="inlineStr">
        <is>
          <t>T-B16D479E</t>
        </is>
      </c>
      <c r="B79" s="16" t="inlineStr">
        <is>
          <t>Использование VirusTotal, AbuseIPDB, Shodan</t>
        </is>
      </c>
      <c r="C79" s="16" t="inlineStr">
        <is>
          <t>РКИОК</t>
        </is>
      </c>
      <c r="D79" s="17" t="inlineStr">
        <is>
          <t>Открыть →</t>
        </is>
      </c>
      <c r="E79" s="6" t="inlineStr"/>
      <c r="F79" s="6" t="inlineStr"/>
    </row>
    <row r="80" ht="48" customHeight="1">
      <c r="A80" s="14" t="inlineStr">
        <is>
          <t>T-BE1BF799</t>
        </is>
      </c>
      <c r="B80" s="14" t="inlineStr">
        <is>
          <t>Использование фреймворков для оценки уровня защищенности (Nessus, OpenVAS, Nmap)</t>
        </is>
      </c>
      <c r="C80" s="14" t="inlineStr">
        <is>
          <t>РКИОК</t>
        </is>
      </c>
      <c r="D80" s="15" t="inlineStr">
        <is>
          <t>Открыть →</t>
        </is>
      </c>
      <c r="E80" s="6" t="inlineStr"/>
      <c r="F80" s="6" t="inlineStr"/>
    </row>
    <row r="81" ht="48" customHeight="1">
      <c r="A81" s="16" t="inlineStr">
        <is>
          <t>T-0B998B4C</t>
        </is>
      </c>
      <c r="B81" s="16" t="inlineStr">
        <is>
          <t>Кибер-форензика – инструменты для криминалистики</t>
        </is>
      </c>
      <c r="C81" s="16" t="inlineStr">
        <is>
          <t>РКИОК</t>
        </is>
      </c>
      <c r="D81" s="17" t="inlineStr">
        <is>
          <t>Открыть →</t>
        </is>
      </c>
      <c r="E81" s="6" t="inlineStr"/>
      <c r="F81" s="6" t="inlineStr"/>
    </row>
    <row r="82" ht="48" customHeight="1">
      <c r="A82" s="14" t="inlineStr">
        <is>
          <t>T-A6B24659</t>
        </is>
      </c>
      <c r="B82" s="14" t="inlineStr">
        <is>
          <t>Кибератаки с использованием методов социальной инженерии</t>
        </is>
      </c>
      <c r="C82" s="14" t="inlineStr">
        <is>
          <t>ОКМ</t>
        </is>
      </c>
      <c r="D82" s="15" t="inlineStr">
        <is>
          <t>Открыть →</t>
        </is>
      </c>
      <c r="E82" s="6" t="inlineStr"/>
      <c r="F82" s="6" t="inlineStr"/>
    </row>
    <row r="83" ht="96" customHeight="1">
      <c r="A83" s="16" t="inlineStr">
        <is>
          <t>T-69C5156B</t>
        </is>
      </c>
      <c r="B83" s="16" t="inlineStr">
        <is>
          <t>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t>
        </is>
      </c>
      <c r="C83" s="16" t="inlineStr">
        <is>
          <t>ОКБО</t>
        </is>
      </c>
      <c r="D83" s="17" t="inlineStr">
        <is>
          <t>Открыть →</t>
        </is>
      </c>
      <c r="E83" s="6" t="inlineStr"/>
      <c r="F83" s="6" t="inlineStr"/>
    </row>
    <row r="84" ht="48" customHeight="1">
      <c r="A84" s="14" t="inlineStr">
        <is>
          <t>T-AD36124B</t>
        </is>
      </c>
      <c r="B84" s="14" t="inlineStr">
        <is>
          <t>Кибербезопасность: основные понятия, принципы и проблемы</t>
        </is>
      </c>
      <c r="C84" s="14" t="inlineStr">
        <is>
          <t>ККС</t>
        </is>
      </c>
      <c r="D84" s="15" t="inlineStr">
        <is>
          <t>Открыть →</t>
        </is>
      </c>
      <c r="E84" s="6" t="inlineStr"/>
      <c r="F84" s="6" t="inlineStr"/>
    </row>
    <row r="85" ht="48" customHeight="1">
      <c r="A85" s="16" t="inlineStr">
        <is>
          <t>T-28FD6216</t>
        </is>
      </c>
      <c r="B85" s="16" t="inlineStr">
        <is>
          <t>Классификация и типы атак: вредоносное ПО, фишинг, DDoS, эксплойты. Обзор актуальных кибератак</t>
        </is>
      </c>
      <c r="C85" s="16" t="inlineStr">
        <is>
          <t>ОКБО</t>
        </is>
      </c>
      <c r="D85" s="17" t="inlineStr">
        <is>
          <t>Открыть →</t>
        </is>
      </c>
      <c r="E85" s="6" t="inlineStr"/>
      <c r="F85" s="6" t="inlineStr"/>
    </row>
    <row r="86" ht="48" customHeight="1">
      <c r="A86" s="14" t="inlineStr">
        <is>
          <t>T-71B1D2B7</t>
        </is>
      </c>
      <c r="B86" s="14" t="inlineStr">
        <is>
          <t>Классификация информационной системы</t>
        </is>
      </c>
      <c r="C86" s="14" t="inlineStr">
        <is>
          <t>ПСАЭ</t>
        </is>
      </c>
      <c r="D86" s="15" t="inlineStr">
        <is>
          <t>Открыть →</t>
        </is>
      </c>
      <c r="E86" s="6" t="inlineStr"/>
      <c r="F86" s="6" t="inlineStr"/>
    </row>
    <row r="87" ht="48" customHeight="1">
      <c r="A87" s="16" t="inlineStr">
        <is>
          <t>T-DEF0549C</t>
        </is>
      </c>
      <c r="B87" s="16" t="inlineStr">
        <is>
          <t>Классификация средств криптографической защиты информации</t>
        </is>
      </c>
      <c r="C87" s="16" t="inlineStr">
        <is>
          <t>КЗИ</t>
        </is>
      </c>
      <c r="D87" s="17" t="inlineStr">
        <is>
          <t>Открыть →</t>
        </is>
      </c>
      <c r="E87" s="6" t="inlineStr"/>
      <c r="F87" s="6" t="inlineStr"/>
    </row>
    <row r="88" ht="48" customHeight="1">
      <c r="A88" s="14" t="inlineStr">
        <is>
          <t>T-333B4F4F</t>
        </is>
      </c>
      <c r="B88" s="14" t="inlineStr">
        <is>
          <t>Классы типовых информационных систем</t>
        </is>
      </c>
      <c r="C88" s="14" t="inlineStr">
        <is>
          <t>ПСАЭ</t>
        </is>
      </c>
      <c r="D88" s="15" t="inlineStr">
        <is>
          <t>Открыть →</t>
        </is>
      </c>
      <c r="E88" s="6" t="inlineStr"/>
      <c r="F88" s="6" t="inlineStr"/>
    </row>
    <row r="89" ht="48" customHeight="1">
      <c r="A89" s="16" t="inlineStr">
        <is>
          <t>T-9038F853</t>
        </is>
      </c>
      <c r="B89" s="16" t="inlineStr">
        <is>
          <t>Клиент-серверные взаимодействия и протоколы приложений</t>
        </is>
      </c>
      <c r="C89" s="16" t="inlineStr">
        <is>
          <t>ОПКС</t>
        </is>
      </c>
      <c r="D89" s="17" t="inlineStr">
        <is>
          <t>Открыть →</t>
        </is>
      </c>
      <c r="E89" s="6" t="inlineStr"/>
      <c r="F89" s="6" t="inlineStr"/>
    </row>
    <row r="90" ht="48" customHeight="1">
      <c r="A90" s="14" t="inlineStr">
        <is>
          <t>T-D97450A3</t>
        </is>
      </c>
      <c r="B90" s="14" t="inlineStr">
        <is>
          <t>Клиентоцентричное проектирование государственных услуг и процессов</t>
        </is>
      </c>
      <c r="C90" s="14" t="inlineStr">
        <is>
          <t>ЦТГУ</t>
        </is>
      </c>
      <c r="D90" s="15" t="inlineStr">
        <is>
          <t>Открыть →</t>
        </is>
      </c>
      <c r="E90" s="6" t="inlineStr"/>
      <c r="F90" s="6" t="inlineStr"/>
    </row>
    <row r="91" ht="48" customHeight="1">
      <c r="A91" s="16" t="inlineStr">
        <is>
          <t>T-0919F413</t>
        </is>
      </c>
      <c r="B91" s="16" t="inlineStr">
        <is>
          <t>Контроль доступа пользователей в сеть</t>
        </is>
      </c>
      <c r="C91" s="16" t="inlineStr">
        <is>
          <t>ТК</t>
        </is>
      </c>
      <c r="D91" s="17" t="inlineStr">
        <is>
          <t>Открыть →</t>
        </is>
      </c>
      <c r="E91" s="6" t="inlineStr"/>
      <c r="F91" s="6" t="inlineStr"/>
    </row>
    <row r="92" ht="48" customHeight="1">
      <c r="A92" s="14" t="inlineStr">
        <is>
          <t>T-10D20CB4</t>
        </is>
      </c>
      <c r="B92" s="14" t="inlineStr">
        <is>
          <t>Концепция обеспечения кибербезопасности</t>
        </is>
      </c>
      <c r="C92" s="14" t="inlineStr">
        <is>
          <t>ОКМ</t>
        </is>
      </c>
      <c r="D92" s="15" t="inlineStr">
        <is>
          <t>Открыть →</t>
        </is>
      </c>
      <c r="E92" s="6" t="inlineStr"/>
      <c r="F92" s="6" t="inlineStr"/>
    </row>
    <row r="93" ht="48" customHeight="1">
      <c r="A93" s="16" t="inlineStr">
        <is>
          <t>T-FDD82DDB</t>
        </is>
      </c>
      <c r="B93" s="16" t="inlineStr">
        <is>
          <t>Краткая история криптографии</t>
        </is>
      </c>
      <c r="C93" s="16" t="inlineStr">
        <is>
          <t>КЗИ</t>
        </is>
      </c>
      <c r="D93" s="17" t="inlineStr">
        <is>
          <t>Открыть →</t>
        </is>
      </c>
      <c r="E93" s="6" t="inlineStr"/>
      <c r="F93" s="6" t="inlineStr"/>
    </row>
    <row r="94" ht="48" customHeight="1">
      <c r="A94" s="14" t="inlineStr">
        <is>
          <t>T-A1853F0E</t>
        </is>
      </c>
      <c r="B94" s="14" t="inlineStr">
        <is>
          <t>Криптографическая защита информации</t>
        </is>
      </c>
      <c r="C94" s="14" t="inlineStr">
        <is>
          <t>АКБ; АУРИК; БКТ; ЗИКС; ТЗПД</t>
        </is>
      </c>
      <c r="D94" s="15" t="inlineStr">
        <is>
          <t>Открыть →</t>
        </is>
      </c>
      <c r="E94" s="6" t="inlineStr"/>
      <c r="F94" s="6" t="inlineStr"/>
    </row>
    <row r="95" ht="48" customHeight="1">
      <c r="A95" s="16" t="inlineStr">
        <is>
          <t>T-ADE2EDF8</t>
        </is>
      </c>
      <c r="B95" s="16" t="inlineStr">
        <is>
          <t>Криптографическая защита информации. Организация защиты информации в системах электронного документооборота</t>
        </is>
      </c>
      <c r="C95" s="16" t="inlineStr">
        <is>
          <t>ЗИОЗ</t>
        </is>
      </c>
      <c r="D95" s="17" t="inlineStr">
        <is>
          <t>Открыть →</t>
        </is>
      </c>
      <c r="E95" s="6" t="inlineStr"/>
      <c r="F95" s="6" t="inlineStr"/>
    </row>
    <row r="96" ht="48" customHeight="1">
      <c r="A96" s="14" t="inlineStr">
        <is>
          <t>T-A37A8875</t>
        </is>
      </c>
      <c r="B96" s="14" t="inlineStr">
        <is>
          <t>Криптографические методы защиты информации</t>
        </is>
      </c>
      <c r="C96" s="14" t="inlineStr">
        <is>
          <t>ККС; ТК</t>
        </is>
      </c>
      <c r="D96" s="15" t="inlineStr">
        <is>
          <t>Открыть →</t>
        </is>
      </c>
      <c r="E96" s="6" t="inlineStr"/>
      <c r="F96" s="6" t="inlineStr"/>
    </row>
    <row r="97" ht="48" customHeight="1">
      <c r="A97" s="16" t="inlineStr">
        <is>
          <t>T-D37AF65A</t>
        </is>
      </c>
      <c r="B97" s="16" t="inlineStr">
        <is>
          <t>Криптографические протоколы</t>
        </is>
      </c>
      <c r="C97" s="16" t="inlineStr">
        <is>
          <t>КЗИ</t>
        </is>
      </c>
      <c r="D97" s="17" t="inlineStr">
        <is>
          <t>Открыть →</t>
        </is>
      </c>
      <c r="E97" s="6" t="inlineStr"/>
      <c r="F97" s="6" t="inlineStr"/>
    </row>
    <row r="98" ht="48" customHeight="1">
      <c r="A98" s="14" t="inlineStr">
        <is>
          <t>T-9EDC67E9</t>
        </is>
      </c>
      <c r="B98" s="14" t="inlineStr">
        <is>
          <t>Криптография с открытым ключом</t>
        </is>
      </c>
      <c r="C98" s="14" t="inlineStr">
        <is>
          <t>КЗИ</t>
        </is>
      </c>
      <c r="D98" s="15" t="inlineStr">
        <is>
          <t>Открыть →</t>
        </is>
      </c>
      <c r="E98" s="6" t="inlineStr"/>
      <c r="F98" s="6" t="inlineStr"/>
    </row>
    <row r="99" ht="48" customHeight="1">
      <c r="A99" s="16" t="inlineStr">
        <is>
          <t>T-691B27B5</t>
        </is>
      </c>
      <c r="B99" s="16" t="inlineStr">
        <is>
          <t>Критерии выбора и области применения инструментов SOAR, SIEM и TI</t>
        </is>
      </c>
      <c r="C99" s="16" t="inlineStr">
        <is>
          <t>РКИОК</t>
        </is>
      </c>
      <c r="D99" s="17" t="inlineStr">
        <is>
          <t>Открыть →</t>
        </is>
      </c>
      <c r="E99" s="6" t="inlineStr"/>
      <c r="F99" s="6" t="inlineStr"/>
    </row>
    <row r="100" ht="48" customHeight="1">
      <c r="A100" s="14" t="inlineStr">
        <is>
          <t>T-B685C0DC</t>
        </is>
      </c>
      <c r="B100" s="14" t="inlineStr">
        <is>
          <t>Логика, триггеры, действия, проверка условий</t>
        </is>
      </c>
      <c r="C100" s="14" t="inlineStr">
        <is>
          <t>РКИОК</t>
        </is>
      </c>
      <c r="D100" s="15" t="inlineStr">
        <is>
          <t>Открыть →</t>
        </is>
      </c>
      <c r="E100" s="6" t="inlineStr"/>
      <c r="F100" s="6" t="inlineStr"/>
    </row>
    <row r="101" ht="64" customHeight="1">
      <c r="A101" s="16" t="inlineStr">
        <is>
          <t>T-32FE9580</t>
        </is>
      </c>
      <c r="B101" s="16" t="inlineStr">
        <is>
          <t>Маршрутизаторы и NAT: построение межсетевых соединений. Беспроводные сети: стандарты, безопасность и проектирование</t>
        </is>
      </c>
      <c r="C101" s="16" t="inlineStr">
        <is>
          <t>ОПКС</t>
        </is>
      </c>
      <c r="D101" s="17" t="inlineStr">
        <is>
          <t>Открыть →</t>
        </is>
      </c>
      <c r="E101" s="6" t="inlineStr"/>
      <c r="F101" s="6" t="inlineStr"/>
    </row>
    <row r="102" ht="48" customHeight="1">
      <c r="A102" s="14" t="inlineStr">
        <is>
          <t>T-E14F9F5E</t>
        </is>
      </c>
      <c r="B102" s="14" t="inlineStr">
        <is>
          <t>Маршрутизация в глобальной сети Интернет</t>
        </is>
      </c>
      <c r="C102" s="14" t="inlineStr">
        <is>
          <t>ОКМ</t>
        </is>
      </c>
      <c r="D102" s="15" t="inlineStr">
        <is>
          <t>Открыть →</t>
        </is>
      </c>
      <c r="E102" s="6" t="inlineStr"/>
      <c r="F102" s="6" t="inlineStr"/>
    </row>
    <row r="103" ht="48" customHeight="1">
      <c r="A103" s="16" t="inlineStr">
        <is>
          <t>T-D66D70FA</t>
        </is>
      </c>
      <c r="B103" s="16" t="inlineStr">
        <is>
          <t>Матрица MITRE</t>
        </is>
      </c>
      <c r="C103" s="16" t="inlineStr">
        <is>
          <t>РКИОК</t>
        </is>
      </c>
      <c r="D103" s="17" t="inlineStr">
        <is>
          <t>Открыть →</t>
        </is>
      </c>
      <c r="E103" s="6" t="inlineStr"/>
      <c r="F103" s="6" t="inlineStr"/>
    </row>
    <row r="104" ht="48" customHeight="1">
      <c r="A104" s="14" t="inlineStr">
        <is>
          <t>T-792BCB81</t>
        </is>
      </c>
      <c r="B104" s="14" t="inlineStr">
        <is>
          <t>Межсетевое экранирование</t>
        </is>
      </c>
      <c r="C104" s="14" t="inlineStr">
        <is>
          <t>ПСАЭ</t>
        </is>
      </c>
      <c r="D104" s="15" t="inlineStr">
        <is>
          <t>Открыть →</t>
        </is>
      </c>
      <c r="E104" s="6" t="inlineStr"/>
      <c r="F104" s="6" t="inlineStr"/>
    </row>
    <row r="105" ht="48" customHeight="1">
      <c r="A105" s="16" t="inlineStr">
        <is>
          <t>T-15CA52CC</t>
        </is>
      </c>
      <c r="B105" s="16" t="inlineStr">
        <is>
          <t>Методики и стандарты, используемые при проведении аудита кибербезопасности</t>
        </is>
      </c>
      <c r="C105" s="16" t="inlineStr">
        <is>
          <t>АУРИК</t>
        </is>
      </c>
      <c r="D105" s="17" t="inlineStr">
        <is>
          <t>Открыть →</t>
        </is>
      </c>
      <c r="E105" s="6" t="inlineStr"/>
      <c r="F105" s="6" t="inlineStr"/>
    </row>
    <row r="106" ht="48" customHeight="1">
      <c r="A106" s="14" t="inlineStr">
        <is>
          <t>T-A043600E</t>
        </is>
      </c>
      <c r="B106" s="14" t="inlineStr">
        <is>
          <t>Методология анализа и оценки рисков кибербезопасности</t>
        </is>
      </c>
      <c r="C106" s="14" t="inlineStr">
        <is>
          <t>АУРИК</t>
        </is>
      </c>
      <c r="D106" s="15" t="inlineStr">
        <is>
          <t>Открыть →</t>
        </is>
      </c>
      <c r="E106" s="6" t="inlineStr"/>
      <c r="F106" s="6" t="inlineStr"/>
    </row>
    <row r="107" ht="48" customHeight="1">
      <c r="A107" s="16" t="inlineStr">
        <is>
          <t>T-8FE53C14</t>
        </is>
      </c>
      <c r="B107" s="16" t="inlineStr">
        <is>
          <t>Методы анализа и детектирования: сигнатурный и поведенческий подходы</t>
        </is>
      </c>
      <c r="C107" s="16" t="inlineStr">
        <is>
          <t>РКИОК</t>
        </is>
      </c>
      <c r="D107" s="17" t="inlineStr">
        <is>
          <t>Открыть →</t>
        </is>
      </c>
      <c r="E107" s="6" t="inlineStr"/>
      <c r="F107" s="6" t="inlineStr"/>
    </row>
    <row r="108" ht="48" customHeight="1">
      <c r="A108" s="14" t="inlineStr">
        <is>
          <t>T-E11AECCB</t>
        </is>
      </c>
      <c r="B108" s="14" t="inlineStr">
        <is>
          <t>Методы аутентификации в протоколах маршрутизации</t>
        </is>
      </c>
      <c r="C108" s="14" t="inlineStr">
        <is>
          <t>ТК</t>
        </is>
      </c>
      <c r="D108" s="15" t="inlineStr">
        <is>
          <t>Открыть →</t>
        </is>
      </c>
      <c r="E108" s="6" t="inlineStr"/>
      <c r="F108" s="6" t="inlineStr"/>
    </row>
    <row r="109" ht="64" customHeight="1">
      <c r="A109" s="16" t="inlineStr">
        <is>
          <t>T-1E00E341</t>
        </is>
      </c>
      <c r="B109" s="16" t="inlineStr">
        <is>
          <t>Методы защиты информации: шифрование, резервирование и резервное копирование, контроль доступа, мониторинг. Уровни надёжности</t>
        </is>
      </c>
      <c r="C109" s="16" t="inlineStr">
        <is>
          <t>ОКБО</t>
        </is>
      </c>
      <c r="D109" s="17" t="inlineStr">
        <is>
          <t>Открыть →</t>
        </is>
      </c>
      <c r="E109" s="6" t="inlineStr"/>
      <c r="F109" s="6" t="inlineStr"/>
    </row>
    <row r="110" ht="48" customHeight="1">
      <c r="A110" s="14" t="inlineStr">
        <is>
          <t>T-9D43E6E4</t>
        </is>
      </c>
      <c r="B110" s="14" t="inlineStr">
        <is>
          <t>Методы обнаружения и предотвращения вторжений</t>
        </is>
      </c>
      <c r="C110" s="14" t="inlineStr">
        <is>
          <t>РКИОК</t>
        </is>
      </c>
      <c r="D110" s="15" t="inlineStr">
        <is>
          <t>Открыть →</t>
        </is>
      </c>
      <c r="E110" s="6" t="inlineStr"/>
      <c r="F110" s="6" t="inlineStr"/>
    </row>
    <row r="111" ht="48" customHeight="1">
      <c r="A111" s="16" t="inlineStr">
        <is>
          <t>T-E2649F7C</t>
        </is>
      </c>
      <c r="B111" s="16" t="inlineStr">
        <is>
          <t>Метрики и оценка моделей</t>
        </is>
      </c>
      <c r="C111" s="16" t="inlineStr">
        <is>
          <t>ПТИИМ</t>
        </is>
      </c>
      <c r="D111" s="17" t="inlineStr">
        <is>
          <t>Открыть →</t>
        </is>
      </c>
      <c r="E111" s="6" t="inlineStr"/>
      <c r="F111" s="6" t="inlineStr"/>
    </row>
    <row r="112" ht="48" customHeight="1">
      <c r="A112" s="14" t="inlineStr">
        <is>
          <t>T-E2C96B54</t>
        </is>
      </c>
      <c r="B112" s="14" t="inlineStr">
        <is>
          <t>Механизм реализации пилотного проекта в сфере цифрового развития</t>
        </is>
      </c>
      <c r="C112" s="14" t="inlineStr">
        <is>
          <t>ЦТГУ</t>
        </is>
      </c>
      <c r="D112" s="15" t="inlineStr">
        <is>
          <t>Открыть →</t>
        </is>
      </c>
      <c r="E112" s="6" t="inlineStr"/>
      <c r="F112" s="6" t="inlineStr"/>
    </row>
    <row r="113" ht="48" customHeight="1">
      <c r="A113" s="16" t="inlineStr">
        <is>
          <t>T-FDECDBBE</t>
        </is>
      </c>
      <c r="B113" s="16" t="inlineStr">
        <is>
          <t>Модели контроля доступа: DAC, MAC, RBAC, ABAC</t>
        </is>
      </c>
      <c r="C113" s="16" t="inlineStr">
        <is>
          <t>ОКБО</t>
        </is>
      </c>
      <c r="D113" s="17" t="inlineStr">
        <is>
          <t>Открыть →</t>
        </is>
      </c>
      <c r="E113" s="6" t="inlineStr"/>
      <c r="F113" s="6" t="inlineStr"/>
    </row>
    <row r="114" ht="48" customHeight="1">
      <c r="A114" s="14" t="inlineStr">
        <is>
          <t>T-7A1BD398</t>
        </is>
      </c>
      <c r="B114" s="14" t="inlineStr">
        <is>
          <t>Модели управления цифровой трансформацией в государственном органе (организации)</t>
        </is>
      </c>
      <c r="C114" s="14" t="inlineStr">
        <is>
          <t>ЦТГУ</t>
        </is>
      </c>
      <c r="D114" s="15" t="inlineStr">
        <is>
          <t>Открыть →</t>
        </is>
      </c>
      <c r="E114" s="6" t="inlineStr"/>
      <c r="F114" s="6" t="inlineStr"/>
    </row>
    <row r="115" ht="48" customHeight="1">
      <c r="A115" s="16" t="inlineStr">
        <is>
          <t>T-7F4356F8</t>
        </is>
      </c>
      <c r="B115" s="16" t="inlineStr">
        <is>
          <t>Модель OSI и стек TCP/IP в современной компьютерной сети</t>
        </is>
      </c>
      <c r="C115" s="16" t="inlineStr">
        <is>
          <t>ОПКС</t>
        </is>
      </c>
      <c r="D115" s="17" t="inlineStr">
        <is>
          <t>Открыть →</t>
        </is>
      </c>
      <c r="E115" s="6" t="inlineStr"/>
      <c r="F115" s="6" t="inlineStr"/>
    </row>
    <row r="116" ht="48" customHeight="1">
      <c r="A116" s="14" t="inlineStr">
        <is>
          <t>T-AB3E3C19</t>
        </is>
      </c>
      <c r="B116" s="14" t="inlineStr">
        <is>
          <t>Модель нарушителя Cyber Kill Chain</t>
        </is>
      </c>
      <c r="C116" s="14" t="inlineStr">
        <is>
          <t>ПСАЭ</t>
        </is>
      </c>
      <c r="D116" s="15" t="inlineStr">
        <is>
          <t>Открыть →</t>
        </is>
      </c>
      <c r="E116" s="6" t="inlineStr"/>
      <c r="F116" s="6" t="inlineStr"/>
    </row>
    <row r="117" ht="48" customHeight="1">
      <c r="A117" s="16" t="inlineStr">
        <is>
          <t>T-F3E12FD8</t>
        </is>
      </c>
      <c r="B117" s="16" t="inlineStr">
        <is>
          <t>Мониторинг кибербезопасности</t>
        </is>
      </c>
      <c r="C117" s="16" t="inlineStr">
        <is>
          <t>АКБ; АУРИК; БКТ; ЗИОЗ; КВОИ; ОПКС</t>
        </is>
      </c>
      <c r="D117" s="17" t="inlineStr">
        <is>
          <t>Открыть →</t>
        </is>
      </c>
      <c r="E117" s="6" t="inlineStr"/>
      <c r="F117" s="6" t="inlineStr"/>
    </row>
    <row r="118" ht="48" customHeight="1">
      <c r="A118" s="14" t="inlineStr">
        <is>
          <t>T-1DB7623B</t>
        </is>
      </c>
      <c r="B118" s="14" t="inlineStr">
        <is>
          <t>Мониторинг кибербезопасности. Реагирование на киберинциденты</t>
        </is>
      </c>
      <c r="C118" s="14" t="inlineStr">
        <is>
          <t>ТЗПД</t>
        </is>
      </c>
      <c r="D118" s="15" t="inlineStr">
        <is>
          <t>Открыть →</t>
        </is>
      </c>
      <c r="E118" s="6" t="inlineStr"/>
      <c r="F118" s="6" t="inlineStr"/>
    </row>
    <row r="119" ht="64" customHeight="1">
      <c r="A119" s="16" t="inlineStr">
        <is>
          <t>T-624A2BA8</t>
        </is>
      </c>
      <c r="B119" s="16" t="inlineStr">
        <is>
          <t>Мониторинг сетевых устройств. SNMP и NetFlow. Системы мониторинга. Сбор и анализ диагностических сообщений: syslog, snmp</t>
        </is>
      </c>
      <c r="C119" s="16" t="inlineStr">
        <is>
          <t>КО</t>
        </is>
      </c>
      <c r="D119" s="17" t="inlineStr">
        <is>
          <t>Открыть →</t>
        </is>
      </c>
      <c r="E119" s="6" t="inlineStr"/>
      <c r="F119" s="6" t="inlineStr"/>
    </row>
    <row r="120" ht="48" customHeight="1">
      <c r="A120" s="14" t="inlineStr">
        <is>
          <t>T-6698172C</t>
        </is>
      </c>
      <c r="B120" s="14" t="inlineStr">
        <is>
          <t>Мониторинг событий информационной безопасности (на примере KUMA)</t>
        </is>
      </c>
      <c r="C120" s="14" t="inlineStr">
        <is>
          <t>ПСАЭ</t>
        </is>
      </c>
      <c r="D120" s="15" t="inlineStr">
        <is>
          <t>Открыть →</t>
        </is>
      </c>
      <c r="E120" s="6" t="inlineStr"/>
      <c r="F120" s="6" t="inlineStr"/>
    </row>
    <row r="121" ht="48" customHeight="1">
      <c r="A121" s="16" t="inlineStr">
        <is>
          <t>T-CBF7AF0C</t>
        </is>
      </c>
      <c r="B121" s="16" t="inlineStr">
        <is>
          <t>Мониторинг состояния защищенности информации</t>
        </is>
      </c>
      <c r="C121" s="16" t="inlineStr">
        <is>
          <t>ЗИКС</t>
        </is>
      </c>
      <c r="D121" s="17" t="inlineStr">
        <is>
          <t>Открыть →</t>
        </is>
      </c>
      <c r="E121" s="6" t="inlineStr"/>
      <c r="F121" s="6" t="inlineStr"/>
    </row>
    <row r="122" ht="64" customHeight="1">
      <c r="A122" s="14" t="inlineStr">
        <is>
          <t>T-08E524F3</t>
        </is>
      </c>
      <c r="B122" s="14" t="inlineStr">
        <is>
          <t>Наглядная демонстрация рисков для предприятия на базе киберполигона при ошибках настройки СЗИ или автоматизированных систем киберцентра</t>
        </is>
      </c>
      <c r="C122" s="14" t="inlineStr">
        <is>
          <t>ОКБО</t>
        </is>
      </c>
      <c r="D122" s="15" t="inlineStr">
        <is>
          <t>Описание не найдено →</t>
        </is>
      </c>
      <c r="E122" s="6" t="inlineStr"/>
      <c r="F122" s="6" t="inlineStr"/>
    </row>
    <row r="123" ht="64" customHeight="1">
      <c r="A123" s="16" t="inlineStr">
        <is>
          <t>T-7CBDE232</t>
        </is>
      </c>
      <c r="B123" s="16" t="inlineStr">
        <is>
          <t>Назначение NT-SIEM, компоненты системы, направления развития, потоки данных. Установка системы. Написание правил</t>
        </is>
      </c>
      <c r="C123" s="16" t="inlineStr">
        <is>
          <t>ОКБО</t>
        </is>
      </c>
      <c r="D123" s="17" t="inlineStr">
        <is>
          <t>Открыть →</t>
        </is>
      </c>
      <c r="E123" s="6" t="inlineStr"/>
      <c r="F123" s="6" t="inlineStr"/>
    </row>
    <row r="124" ht="48" customHeight="1">
      <c r="A124" s="14" t="inlineStr">
        <is>
          <t>T-B1B43BE0</t>
        </is>
      </c>
      <c r="B124" s="14" t="inlineStr">
        <is>
          <t>Назначение и функции ЦКБ, организация процессов в ЦКБ</t>
        </is>
      </c>
      <c r="C124" s="14" t="inlineStr">
        <is>
          <t>ОКБО</t>
        </is>
      </c>
      <c r="D124" s="15" t="inlineStr">
        <is>
          <t>Открыть →</t>
        </is>
      </c>
      <c r="E124" s="6" t="inlineStr"/>
      <c r="F124" s="6" t="inlineStr"/>
    </row>
    <row r="125" ht="48" customHeight="1">
      <c r="A125" s="16" t="inlineStr">
        <is>
          <t>T-DBE021AA</t>
        </is>
      </c>
      <c r="B125" s="16" t="inlineStr">
        <is>
          <t>Написание скриптов автоматического реагирования (Python, Bash)</t>
        </is>
      </c>
      <c r="C125" s="16" t="inlineStr">
        <is>
          <t>РКИОК</t>
        </is>
      </c>
      <c r="D125" s="17" t="inlineStr">
        <is>
          <t>Открыть →</t>
        </is>
      </c>
      <c r="E125" s="6" t="inlineStr"/>
      <c r="F125" s="6" t="inlineStr"/>
    </row>
    <row r="126" ht="48" customHeight="1">
      <c r="A126" s="14" t="inlineStr">
        <is>
          <t>T-E5761E9C</t>
        </is>
      </c>
      <c r="B126" s="14" t="inlineStr">
        <is>
          <t>Написание скриптов для сбора и анализа логов (Python)</t>
        </is>
      </c>
      <c r="C126" s="14" t="inlineStr">
        <is>
          <t>РКИОК</t>
        </is>
      </c>
      <c r="D126" s="15" t="inlineStr">
        <is>
          <t>Открыть →</t>
        </is>
      </c>
      <c r="E126" s="6" t="inlineStr"/>
      <c r="F126" s="6" t="inlineStr"/>
    </row>
    <row r="127" ht="48" customHeight="1">
      <c r="A127" s="16" t="inlineStr">
        <is>
          <t>T-78A918BC</t>
        </is>
      </c>
      <c r="B127" s="16" t="inlineStr">
        <is>
          <t>Настройка MFA, реализация доступа по ролям /чтение/запись/временный</t>
        </is>
      </c>
      <c r="C127" s="16" t="inlineStr">
        <is>
          <t>ОКБО</t>
        </is>
      </c>
      <c r="D127" s="17" t="inlineStr">
        <is>
          <t>Открыть →</t>
        </is>
      </c>
      <c r="E127" s="6" t="inlineStr"/>
      <c r="F127" s="6" t="inlineStr"/>
    </row>
    <row r="128" ht="64" customHeight="1">
      <c r="A128" s="14" t="inlineStr">
        <is>
          <t>T-C263D4D0</t>
        </is>
      </c>
      <c r="B128" s="14" t="inlineStr">
        <is>
          <t>Национальная система обеспечения кибербезопасности</t>
        </is>
      </c>
      <c r="C128" s="14" t="inlineStr">
        <is>
          <t>АКБ; АУРИК; БКТ; ЗИКС; ЗИОЗ; КВОИ; ККС; КО; ОКМ; ОПКС; ТК</t>
        </is>
      </c>
      <c r="D128" s="15" t="inlineStr">
        <is>
          <t>Открыть →</t>
        </is>
      </c>
      <c r="E128" s="6" t="inlineStr"/>
      <c r="F128" s="6" t="inlineStr"/>
    </row>
    <row r="129" ht="48" customHeight="1">
      <c r="A129" s="16" t="inlineStr">
        <is>
          <t>T-99A0E09D</t>
        </is>
      </c>
      <c r="B129" s="16" t="inlineStr">
        <is>
          <t>Национальная стратегия: экономика данных и цифровое государство (2026–2030)</t>
        </is>
      </c>
      <c r="C129" s="16" t="inlineStr">
        <is>
          <t>ЦТГУ</t>
        </is>
      </c>
      <c r="D129" s="17" t="inlineStr">
        <is>
          <t>Открыть →</t>
        </is>
      </c>
      <c r="E129" s="6" t="inlineStr"/>
      <c r="F129" s="6" t="inlineStr"/>
    </row>
    <row r="130" ht="48" customHeight="1">
      <c r="A130" s="14" t="inlineStr">
        <is>
          <t>T-9B79997E</t>
        </is>
      </c>
      <c r="B130" s="14" t="inlineStr">
        <is>
          <t>Необходимость и значение киберразведки в обеспечении информационной безопасности</t>
        </is>
      </c>
      <c r="C130" s="14" t="inlineStr">
        <is>
          <t>РКИОК</t>
        </is>
      </c>
      <c r="D130" s="15" t="inlineStr">
        <is>
          <t>Открыть →</t>
        </is>
      </c>
      <c r="E130" s="6" t="inlineStr"/>
      <c r="F130" s="6" t="inlineStr"/>
    </row>
    <row r="131" ht="48" customHeight="1">
      <c r="A131" s="16" t="inlineStr">
        <is>
          <t>T-07538019</t>
        </is>
      </c>
      <c r="B131" s="16" t="inlineStr">
        <is>
          <t>Нормализация событий, корреляция, обработка ложных событий</t>
        </is>
      </c>
      <c r="C131" s="16" t="inlineStr">
        <is>
          <t>ОКБО</t>
        </is>
      </c>
      <c r="D131" s="17" t="inlineStr">
        <is>
          <t>Открыть →</t>
        </is>
      </c>
      <c r="E131" s="6" t="inlineStr"/>
      <c r="F131" s="6" t="inlineStr"/>
    </row>
    <row r="132" ht="48" customHeight="1">
      <c r="A132" s="14" t="inlineStr">
        <is>
          <t>T-E83E95EB</t>
        </is>
      </c>
      <c r="B132" s="14" t="inlineStr">
        <is>
          <t>«Нулевая бюрократия»: подходы к сокращению административных барьеров</t>
        </is>
      </c>
      <c r="C132" s="14" t="inlineStr">
        <is>
          <t>ЦТГУ</t>
        </is>
      </c>
      <c r="D132" s="15" t="inlineStr">
        <is>
          <t>Открыть →</t>
        </is>
      </c>
      <c r="E132" s="6" t="inlineStr"/>
      <c r="F132" s="6" t="inlineStr"/>
    </row>
    <row r="133" ht="48" customHeight="1">
      <c r="A133" s="16" t="inlineStr">
        <is>
          <t>T-89E2CB88</t>
        </is>
      </c>
      <c r="B133" s="16" t="inlineStr">
        <is>
          <t>Обеспечение безопасности информации в информационных системах</t>
        </is>
      </c>
      <c r="C133" s="16" t="inlineStr">
        <is>
          <t>ЗИКС</t>
        </is>
      </c>
      <c r="D133" s="17" t="inlineStr">
        <is>
          <t>Открыть →</t>
        </is>
      </c>
      <c r="E133" s="6" t="inlineStr"/>
      <c r="F133" s="6" t="inlineStr"/>
    </row>
    <row r="134" ht="48" customHeight="1">
      <c r="A134" s="14" t="inlineStr">
        <is>
          <t>T-85A353EA</t>
        </is>
      </c>
      <c r="B134" s="14" t="inlineStr">
        <is>
          <t>Обеспечение безопасности клиент-серверного соединения</t>
        </is>
      </c>
      <c r="C134" s="14" t="inlineStr">
        <is>
          <t>ТК</t>
        </is>
      </c>
      <c r="D134" s="15" t="inlineStr">
        <is>
          <t>Открыть →</t>
        </is>
      </c>
      <c r="E134" s="6" t="inlineStr"/>
      <c r="F134" s="6" t="inlineStr"/>
    </row>
    <row r="135" ht="48" customHeight="1">
      <c r="A135" s="16" t="inlineStr">
        <is>
          <t>T-25E5D4E2</t>
        </is>
      </c>
      <c r="B135" s="16" t="inlineStr">
        <is>
          <t>Обеспечение безопасности компьютерных сетей</t>
        </is>
      </c>
      <c r="C135" s="16" t="inlineStr">
        <is>
          <t>БКТ; ККС</t>
        </is>
      </c>
      <c r="D135" s="17" t="inlineStr">
        <is>
          <t>Открыть →</t>
        </is>
      </c>
      <c r="E135" s="6" t="inlineStr"/>
      <c r="F135" s="6" t="inlineStr"/>
    </row>
    <row r="136" ht="48" customHeight="1">
      <c r="A136" s="14" t="inlineStr">
        <is>
          <t>T-02A02E6B</t>
        </is>
      </c>
      <c r="B136" s="14" t="inlineStr">
        <is>
          <t>Обеспечение логирования в системах с контролем доступа. Журналы безопасности OC Windows/Linux</t>
        </is>
      </c>
      <c r="C136" s="14" t="inlineStr">
        <is>
          <t>ОКБО</t>
        </is>
      </c>
      <c r="D136" s="15" t="inlineStr">
        <is>
          <t>Открыть →</t>
        </is>
      </c>
      <c r="E136" s="6" t="inlineStr"/>
      <c r="F136" s="6" t="inlineStr"/>
    </row>
    <row r="137" ht="48" customHeight="1">
      <c r="A137" s="16" t="inlineStr">
        <is>
          <t>T-05A132EB</t>
        </is>
      </c>
      <c r="B137" s="16" t="inlineStr">
        <is>
          <t>Обзор платформ: R-Vision TI, MISP и др</t>
        </is>
      </c>
      <c r="C137" s="16" t="inlineStr">
        <is>
          <t>РКИОК</t>
        </is>
      </c>
      <c r="D137" s="17" t="inlineStr">
        <is>
          <t>Открыть →</t>
        </is>
      </c>
      <c r="E137" s="6" t="inlineStr"/>
      <c r="F137" s="6" t="inlineStr"/>
    </row>
    <row r="138" ht="48" customHeight="1">
      <c r="A138" s="14" t="inlineStr">
        <is>
          <t>T-D7D89656</t>
        </is>
      </c>
      <c r="B138" s="14" t="inlineStr">
        <is>
          <t>Обзор популярных российских SOAR-платформ: R-Vision SOAR, Security Vision SOAR</t>
        </is>
      </c>
      <c r="C138" s="14" t="inlineStr">
        <is>
          <t>РКИОК</t>
        </is>
      </c>
      <c r="D138" s="15" t="inlineStr">
        <is>
          <t>Открыть →</t>
        </is>
      </c>
      <c r="E138" s="6" t="inlineStr"/>
      <c r="F138" s="6" t="inlineStr"/>
    </row>
    <row r="139" ht="48" customHeight="1">
      <c r="A139" s="16" t="inlineStr">
        <is>
          <t>T-6206C2D9</t>
        </is>
      </c>
      <c r="B139" s="16" t="inlineStr">
        <is>
          <t>Обзор правового регулирования и стандартов в сфере ИИ</t>
        </is>
      </c>
      <c r="C139" s="16" t="inlineStr">
        <is>
          <t>ПТИИМ</t>
        </is>
      </c>
      <c r="D139" s="17" t="inlineStr">
        <is>
          <t>Открыть →</t>
        </is>
      </c>
      <c r="E139" s="6" t="inlineStr"/>
      <c r="F139" s="6" t="inlineStr"/>
    </row>
    <row r="140" ht="48" customHeight="1">
      <c r="A140" s="14" t="inlineStr">
        <is>
          <t>T-9D2470BA</t>
        </is>
      </c>
      <c r="B140" s="14" t="inlineStr">
        <is>
          <t>Обзор требований по обеспечению кибербезопасности различных объектов информационной инфраструктуры</t>
        </is>
      </c>
      <c r="C140" s="14" t="inlineStr">
        <is>
          <t>КО</t>
        </is>
      </c>
      <c r="D140" s="15" t="inlineStr">
        <is>
          <t>Открыть →</t>
        </is>
      </c>
      <c r="E140" s="6" t="inlineStr"/>
      <c r="F140" s="6" t="inlineStr"/>
    </row>
    <row r="141" ht="48" customHeight="1">
      <c r="A141" s="16" t="inlineStr">
        <is>
          <t>T-63831BF0</t>
        </is>
      </c>
      <c r="B141" s="16" t="inlineStr">
        <is>
          <t>Обзор угроз: вредоносы, фишинг, атаки через социальную инженерию</t>
        </is>
      </c>
      <c r="C141" s="16" t="inlineStr">
        <is>
          <t>РКИОК</t>
        </is>
      </c>
      <c r="D141" s="17" t="inlineStr">
        <is>
          <t>Открыть →</t>
        </is>
      </c>
      <c r="E141" s="6" t="inlineStr"/>
      <c r="F141" s="6" t="inlineStr"/>
    </row>
    <row r="142" ht="48" customHeight="1">
      <c r="A142" s="14" t="inlineStr">
        <is>
          <t>T-CF0B226D</t>
        </is>
      </c>
      <c r="B142" s="14" t="inlineStr">
        <is>
          <t>Обнаружение deepfake</t>
        </is>
      </c>
      <c r="C142" s="14" t="inlineStr">
        <is>
          <t>ПТИИМ</t>
        </is>
      </c>
      <c r="D142" s="15" t="inlineStr">
        <is>
          <t>Открыть →</t>
        </is>
      </c>
      <c r="E142" s="6" t="inlineStr"/>
      <c r="F142" s="6" t="inlineStr"/>
    </row>
    <row r="143" ht="48" customHeight="1">
      <c r="A143" s="16" t="inlineStr">
        <is>
          <t>T-E8B695F5</t>
        </is>
      </c>
      <c r="B143" s="16" t="inlineStr">
        <is>
          <t>Обнаружение базовых DGA</t>
        </is>
      </c>
      <c r="C143" s="16" t="inlineStr">
        <is>
          <t>ПТИИМ</t>
        </is>
      </c>
      <c r="D143" s="17" t="inlineStr">
        <is>
          <t>Открыть →</t>
        </is>
      </c>
      <c r="E143" s="6" t="inlineStr"/>
      <c r="F143" s="6" t="inlineStr"/>
    </row>
    <row r="144" ht="48" customHeight="1">
      <c r="A144" s="14" t="inlineStr">
        <is>
          <t>T-DB346810</t>
        </is>
      </c>
      <c r="B144" s="14" t="inlineStr">
        <is>
          <t>Обнаружение вредоносных файлов</t>
        </is>
      </c>
      <c r="C144" s="14" t="inlineStr">
        <is>
          <t>ПТИИМ</t>
        </is>
      </c>
      <c r="D144" s="15" t="inlineStr">
        <is>
          <t>Открыть →</t>
        </is>
      </c>
      <c r="E144" s="6" t="inlineStr"/>
      <c r="F144" s="6" t="inlineStr"/>
    </row>
    <row r="145" ht="48" customHeight="1">
      <c r="A145" s="16" t="inlineStr">
        <is>
          <t>T-A696E34C</t>
        </is>
      </c>
      <c r="B145" s="16" t="inlineStr">
        <is>
          <t>Обследование и анализ исходных данных на информационную систему</t>
        </is>
      </c>
      <c r="C145" s="16" t="inlineStr">
        <is>
          <t>ПСАЭ</t>
        </is>
      </c>
      <c r="D145" s="17" t="inlineStr">
        <is>
          <t>Открыть →</t>
        </is>
      </c>
      <c r="E145" s="6" t="inlineStr"/>
      <c r="F145" s="6" t="inlineStr"/>
    </row>
    <row r="146" ht="48" customHeight="1">
      <c r="A146" s="14" t="inlineStr">
        <is>
          <t>T-E2D6D3F7</t>
        </is>
      </c>
      <c r="B146" s="14" t="inlineStr">
        <is>
          <t>Объяснимый ИИ</t>
        </is>
      </c>
      <c r="C146" s="14" t="inlineStr">
        <is>
          <t>ПТИИМ</t>
        </is>
      </c>
      <c r="D146" s="15" t="inlineStr">
        <is>
          <t>Открыть →</t>
        </is>
      </c>
      <c r="E146" s="6" t="inlineStr"/>
      <c r="F146" s="6" t="inlineStr"/>
    </row>
    <row r="147" ht="48" customHeight="1">
      <c r="A147" s="16" t="inlineStr">
        <is>
          <t>T-6363F810</t>
        </is>
      </c>
      <c r="B147" s="16" t="inlineStr">
        <is>
          <t>Определение и функциональная архитектура платформ SOAR</t>
        </is>
      </c>
      <c r="C147" s="16" t="inlineStr">
        <is>
          <t>РКИОК</t>
        </is>
      </c>
      <c r="D147" s="17" t="inlineStr">
        <is>
          <t>Открыть →</t>
        </is>
      </c>
      <c r="E147" s="6" t="inlineStr"/>
      <c r="F147" s="6" t="inlineStr"/>
    </row>
    <row r="148" ht="48" customHeight="1">
      <c r="A148" s="14" t="inlineStr">
        <is>
          <t>T-A152100E</t>
        </is>
      </c>
      <c r="B148" s="14" t="inlineStr">
        <is>
          <t>Определение перечня и разработка локальных правовых актов, регламентирующих вопросы защиты информации</t>
        </is>
      </c>
      <c r="C148" s="14" t="inlineStr">
        <is>
          <t>ПСАЭ</t>
        </is>
      </c>
      <c r="D148" s="15" t="inlineStr">
        <is>
          <t>Открыть →</t>
        </is>
      </c>
      <c r="E148" s="6" t="inlineStr"/>
      <c r="F148" s="6" t="inlineStr"/>
    </row>
    <row r="149" ht="48" customHeight="1">
      <c r="A149" s="16" t="inlineStr">
        <is>
          <t>T-44810CEF</t>
        </is>
      </c>
      <c r="B149" s="16" t="inlineStr">
        <is>
          <t>Оптические сети и технологии xPON</t>
        </is>
      </c>
      <c r="C149" s="16" t="inlineStr">
        <is>
          <t>ОПКС</t>
        </is>
      </c>
      <c r="D149" s="17" t="inlineStr">
        <is>
          <t>Открыть →</t>
        </is>
      </c>
      <c r="E149" s="6" t="inlineStr"/>
      <c r="F149" s="6" t="inlineStr"/>
    </row>
    <row r="150" ht="64" customHeight="1">
      <c r="A150" s="14" t="inlineStr">
        <is>
          <t>T-D6E9DEFF</t>
        </is>
      </c>
      <c r="B150" s="14" t="inlineStr">
        <is>
          <t>Организационные меры по защите информации. Создание и поддержание инфраструктуры защиты информации в организации</t>
        </is>
      </c>
      <c r="C150" s="14" t="inlineStr">
        <is>
          <t>ККС</t>
        </is>
      </c>
      <c r="D150" s="15" t="inlineStr">
        <is>
          <t>Открыть →</t>
        </is>
      </c>
      <c r="E150" s="6" t="inlineStr"/>
      <c r="F150" s="6" t="inlineStr"/>
    </row>
    <row r="151" ht="48" customHeight="1">
      <c r="A151" s="16" t="inlineStr">
        <is>
          <t>T-150BEB5A</t>
        </is>
      </c>
      <c r="B151" s="16" t="inlineStr">
        <is>
          <t>Организация защиты информации в системах электронного документооборота</t>
        </is>
      </c>
      <c r="C151" s="16" t="inlineStr">
        <is>
          <t>АКБ; БКТ; ЗИКС</t>
        </is>
      </c>
      <c r="D151" s="17" t="inlineStr">
        <is>
          <t>Открыть →</t>
        </is>
      </c>
      <c r="E151" s="6" t="inlineStr"/>
      <c r="F151" s="6" t="inlineStr"/>
    </row>
    <row r="152" ht="48" customHeight="1">
      <c r="A152" s="14" t="inlineStr">
        <is>
          <t>T-D12351DD</t>
        </is>
      </c>
      <c r="B152" s="14" t="inlineStr">
        <is>
          <t>Основные алгоритмы машинного обучения</t>
        </is>
      </c>
      <c r="C152" s="14" t="inlineStr">
        <is>
          <t>ПТИИМ</t>
        </is>
      </c>
      <c r="D152" s="15" t="inlineStr">
        <is>
          <t>Открыть →</t>
        </is>
      </c>
      <c r="E152" s="6" t="inlineStr"/>
      <c r="F152" s="6" t="inlineStr"/>
    </row>
    <row r="153" ht="48" customHeight="1">
      <c r="A153" s="16" t="inlineStr">
        <is>
          <t>T-E99406B0</t>
        </is>
      </c>
      <c r="B153" s="16" t="inlineStr">
        <is>
          <t>Основные аспекты безопасности эксплуатации средств криптографической защиты информации</t>
        </is>
      </c>
      <c r="C153" s="16" t="inlineStr">
        <is>
          <t>КЗИ</t>
        </is>
      </c>
      <c r="D153" s="17" t="inlineStr">
        <is>
          <t>Открыть →</t>
        </is>
      </c>
      <c r="E153" s="6" t="inlineStr"/>
      <c r="F153" s="6" t="inlineStr"/>
    </row>
    <row r="154" ht="48" customHeight="1">
      <c r="A154" s="14" t="inlineStr">
        <is>
          <t>T-8D67A184</t>
        </is>
      </c>
      <c r="B154" s="14" t="inlineStr">
        <is>
          <t>Основные источники TI (open source, коммерческие, государственные). Стандарты обмена TI: STIX, TAXII</t>
        </is>
      </c>
      <c r="C154" s="14" t="inlineStr">
        <is>
          <t>РКИОК</t>
        </is>
      </c>
      <c r="D154" s="15" t="inlineStr">
        <is>
          <t>Открыть →</t>
        </is>
      </c>
      <c r="E154" s="6" t="inlineStr"/>
      <c r="F154" s="6" t="inlineStr"/>
    </row>
    <row r="155" ht="48" customHeight="1">
      <c r="A155" s="16" t="inlineStr">
        <is>
          <t>T-1D3B4F15</t>
        </is>
      </c>
      <c r="B155" s="16" t="inlineStr">
        <is>
          <t>Основные перспективные направления развития криптографии в Республике Беларусь</t>
        </is>
      </c>
      <c r="C155" s="16" t="inlineStr">
        <is>
          <t>КЗИ</t>
        </is>
      </c>
      <c r="D155" s="17" t="inlineStr">
        <is>
          <t>Открыть →</t>
        </is>
      </c>
      <c r="E155" s="6" t="inlineStr"/>
      <c r="F155" s="6" t="inlineStr"/>
    </row>
    <row r="156" ht="64" customHeight="1">
      <c r="A156" s="14" t="inlineStr">
        <is>
          <t>T-9D7A9E2E</t>
        </is>
      </c>
      <c r="B156" s="14" t="inlineStr">
        <is>
          <t>Основные принципы и инструменты выявления, анализа действий нарушителя и работы вредоносного программного обеспечения</t>
        </is>
      </c>
      <c r="C156" s="14" t="inlineStr">
        <is>
          <t>ОКБО</t>
        </is>
      </c>
      <c r="D156" s="15" t="inlineStr">
        <is>
          <t>Открыть →</t>
        </is>
      </c>
      <c r="E156" s="6" t="inlineStr"/>
      <c r="F156" s="6" t="inlineStr"/>
    </row>
    <row r="157" ht="48" customHeight="1">
      <c r="A157" s="16" t="inlineStr">
        <is>
          <t>T-6FF1CBA0</t>
        </is>
      </c>
      <c r="B157" s="16" t="inlineStr">
        <is>
          <t>Основные субъекты, участвующие в процессах управления цифровой трансформацией государственного управления</t>
        </is>
      </c>
      <c r="C157" s="16" t="inlineStr">
        <is>
          <t>ЦТГУ</t>
        </is>
      </c>
      <c r="D157" s="17" t="inlineStr">
        <is>
          <t>Открыть →</t>
        </is>
      </c>
      <c r="E157" s="6" t="inlineStr"/>
      <c r="F157" s="6" t="inlineStr"/>
    </row>
    <row r="158" ht="48" customHeight="1">
      <c r="A158" s="14" t="inlineStr">
        <is>
          <t>T-A0BAE9BD</t>
        </is>
      </c>
      <c r="B158" s="14" t="inlineStr">
        <is>
          <t>Основные функции: оркестрация, автоматизация, реагирование</t>
        </is>
      </c>
      <c r="C158" s="14" t="inlineStr">
        <is>
          <t>РКИОК</t>
        </is>
      </c>
      <c r="D158" s="15" t="inlineStr">
        <is>
          <t>Открыть →</t>
        </is>
      </c>
      <c r="E158" s="6" t="inlineStr"/>
      <c r="F158" s="6" t="inlineStr"/>
    </row>
    <row r="159" ht="48" customHeight="1">
      <c r="A159" s="16" t="inlineStr">
        <is>
          <t>T-104C2C72</t>
        </is>
      </c>
      <c r="B159" s="16" t="inlineStr">
        <is>
          <t>Основы защиты персональных данных. Законодательство о персональных данных</t>
        </is>
      </c>
      <c r="C159" s="16" t="inlineStr">
        <is>
          <t>КО</t>
        </is>
      </c>
      <c r="D159" s="17" t="inlineStr">
        <is>
          <t>Открыть →</t>
        </is>
      </c>
      <c r="E159" s="6" t="inlineStr"/>
      <c r="F159" s="6" t="inlineStr"/>
    </row>
    <row r="160" ht="64" customHeight="1">
      <c r="A160" s="14" t="inlineStr">
        <is>
          <t>T-F16DF157</t>
        </is>
      </c>
      <c r="B160" s="14" t="inlineStr">
        <is>
          <t>Основы информационной безопасности: понятие, цели, принципы. CIA-модель: конфиденциальность, целостность, доступность</t>
        </is>
      </c>
      <c r="C160" s="14" t="inlineStr">
        <is>
          <t>ОКБО</t>
        </is>
      </c>
      <c r="D160" s="15" t="inlineStr">
        <is>
          <t>Открыть →</t>
        </is>
      </c>
      <c r="E160" s="6" t="inlineStr"/>
      <c r="F160" s="6" t="inlineStr"/>
    </row>
    <row r="161" ht="48" customHeight="1">
      <c r="A161" s="16" t="inlineStr">
        <is>
          <t>T-16947C9D</t>
        </is>
      </c>
      <c r="B161" s="16" t="inlineStr">
        <is>
          <t>Основы политик информационной безопасности и системы управления информационной безопасности</t>
        </is>
      </c>
      <c r="C161" s="16" t="inlineStr">
        <is>
          <t>РКИОК</t>
        </is>
      </c>
      <c r="D161" s="17" t="inlineStr">
        <is>
          <t>Открыть →</t>
        </is>
      </c>
      <c r="E161" s="6" t="inlineStr"/>
      <c r="F161" s="6" t="inlineStr"/>
    </row>
    <row r="162" ht="64" customHeight="1">
      <c r="A162" s="14" t="inlineStr">
        <is>
          <t>T-BE30B5FB</t>
        </is>
      </c>
      <c r="B162" s="14" t="inlineStr">
        <is>
          <t>Особенности подтверждения соответствия средств защиты информации в Национальной системе подтверждения соответствия</t>
        </is>
      </c>
      <c r="C162" s="14" t="inlineStr">
        <is>
          <t>БКТ</t>
        </is>
      </c>
      <c r="D162" s="15" t="inlineStr">
        <is>
          <t>Открыть →</t>
        </is>
      </c>
      <c r="E162" s="6" t="inlineStr"/>
      <c r="F162" s="6" t="inlineStr"/>
    </row>
    <row r="163" ht="48" customHeight="1">
      <c r="A163" s="16" t="inlineStr">
        <is>
          <t>T-DBE83A65</t>
        </is>
      </c>
      <c r="B163" s="16" t="inlineStr">
        <is>
          <t>Особенности эксплуатации системы защиты информации организации</t>
        </is>
      </c>
      <c r="C163" s="16" t="inlineStr">
        <is>
          <t>ПСАЭ</t>
        </is>
      </c>
      <c r="D163" s="17" t="inlineStr">
        <is>
          <t>Открыть →</t>
        </is>
      </c>
      <c r="E163" s="6" t="inlineStr"/>
      <c r="F163" s="6" t="inlineStr"/>
    </row>
    <row r="164" ht="48" customHeight="1">
      <c r="A164" s="14" t="inlineStr">
        <is>
          <t>T-70E46FD9</t>
        </is>
      </c>
      <c r="B164" s="14" t="inlineStr">
        <is>
          <t>Офисы цифровизации: функции, роли, взаимодействие</t>
        </is>
      </c>
      <c r="C164" s="14" t="inlineStr">
        <is>
          <t>ЦТГУ</t>
        </is>
      </c>
      <c r="D164" s="15" t="inlineStr">
        <is>
          <t>Открыть →</t>
        </is>
      </c>
      <c r="E164" s="6" t="inlineStr"/>
      <c r="F164" s="6" t="inlineStr"/>
    </row>
    <row r="165" ht="96" customHeight="1">
      <c r="A165" s="16" t="inlineStr">
        <is>
          <t>T-9CDE7CD7</t>
        </is>
      </c>
      <c r="B165" s="16" t="inlineStr">
        <is>
          <t>Оценка эффективности защищенности. Оценка степени зрелости компании, оценка правильности назначения ответственных лиц на предприятии и выстроенных бизнес-процессов. Аудит информационной безопасности и ее составляющие. Тесты на проникновение</t>
        </is>
      </c>
      <c r="C165" s="16" t="inlineStr">
        <is>
          <t>ОКБО</t>
        </is>
      </c>
      <c r="D165" s="17" t="inlineStr">
        <is>
          <t>Описание не найдено →</t>
        </is>
      </c>
      <c r="E165" s="6" t="inlineStr"/>
      <c r="F165" s="6" t="inlineStr"/>
    </row>
    <row r="166" ht="48" customHeight="1">
      <c r="A166" s="14" t="inlineStr">
        <is>
          <t>T-98153B1D</t>
        </is>
      </c>
      <c r="B166" s="14" t="inlineStr">
        <is>
          <t>Планирование и проведение аудита кибербезопасности. Управление процессом аудита</t>
        </is>
      </c>
      <c r="C166" s="14" t="inlineStr">
        <is>
          <t>АУРИК</t>
        </is>
      </c>
      <c r="D166" s="15" t="inlineStr">
        <is>
          <t>Открыть →</t>
        </is>
      </c>
      <c r="E166" s="6" t="inlineStr"/>
      <c r="F166" s="6" t="inlineStr"/>
    </row>
    <row r="167" ht="48" customHeight="1">
      <c r="A167" s="16" t="inlineStr">
        <is>
          <t>T-1A3B7311</t>
        </is>
      </c>
      <c r="B167" s="16" t="inlineStr">
        <is>
          <t>Платформенная модель «Цифровое государство»: архитектура и компоненты</t>
        </is>
      </c>
      <c r="C167" s="16" t="inlineStr">
        <is>
          <t>ЦТГУ</t>
        </is>
      </c>
      <c r="D167" s="17" t="inlineStr">
        <is>
          <t>Открыть →</t>
        </is>
      </c>
      <c r="E167" s="6" t="inlineStr"/>
      <c r="F167" s="6" t="inlineStr"/>
    </row>
    <row r="168" ht="48" customHeight="1">
      <c r="A168" s="14" t="inlineStr">
        <is>
          <t>T-ED6B85B9</t>
        </is>
      </c>
      <c r="B168" s="14" t="inlineStr">
        <is>
          <t>Плейбук в системе SOAR: понятие, структура и принципы построения</t>
        </is>
      </c>
      <c r="C168" s="14" t="inlineStr">
        <is>
          <t>РКИОК</t>
        </is>
      </c>
      <c r="D168" s="15" t="inlineStr">
        <is>
          <t>Открыть →</t>
        </is>
      </c>
      <c r="E168" s="6" t="inlineStr"/>
      <c r="F168" s="6" t="inlineStr"/>
    </row>
    <row r="169" ht="48" customHeight="1">
      <c r="A169" s="16" t="inlineStr">
        <is>
          <t>T-DEAC0563</t>
        </is>
      </c>
      <c r="B169" s="16" t="inlineStr">
        <is>
          <t>Поведенческие триггеры</t>
        </is>
      </c>
      <c r="C169" s="16" t="inlineStr">
        <is>
          <t>РКИОК</t>
        </is>
      </c>
      <c r="D169" s="17" t="inlineStr">
        <is>
          <t>Открыть →</t>
        </is>
      </c>
      <c r="E169" s="6" t="inlineStr"/>
      <c r="F169" s="6" t="inlineStr"/>
    </row>
    <row r="170" ht="48" customHeight="1">
      <c r="A170" s="14" t="inlineStr">
        <is>
          <t>T-073C7E19</t>
        </is>
      </c>
      <c r="B170" s="14" t="inlineStr">
        <is>
          <t>Подготовка исходных данных к проведению аттестации системы защиты информации</t>
        </is>
      </c>
      <c r="C170" s="14" t="inlineStr">
        <is>
          <t>ПСАЭ</t>
        </is>
      </c>
      <c r="D170" s="15" t="inlineStr">
        <is>
          <t>Открыть →</t>
        </is>
      </c>
      <c r="E170" s="6" t="inlineStr"/>
      <c r="F170" s="6" t="inlineStr"/>
    </row>
    <row r="171" ht="48" customHeight="1">
      <c r="A171" s="16" t="inlineStr">
        <is>
          <t>T-17154455</t>
        </is>
      </c>
      <c r="B171" s="16" t="inlineStr">
        <is>
          <t>Подключение внешних фидов, загрузка собственных индикаторов</t>
        </is>
      </c>
      <c r="C171" s="16" t="inlineStr">
        <is>
          <t>РКИОК</t>
        </is>
      </c>
      <c r="D171" s="17" t="inlineStr">
        <is>
          <t>Открыть →</t>
        </is>
      </c>
      <c r="E171" s="6" t="inlineStr"/>
      <c r="F171" s="6" t="inlineStr"/>
    </row>
    <row r="172" ht="48" customHeight="1">
      <c r="A172" s="14" t="inlineStr">
        <is>
          <t>T-FC0E5E98</t>
        </is>
      </c>
      <c r="B172" s="14" t="inlineStr">
        <is>
          <t>Подключение источника, нормализация событий, корреляция, обработка ложных событий</t>
        </is>
      </c>
      <c r="C172" s="14" t="inlineStr">
        <is>
          <t>ОКБО</t>
        </is>
      </c>
      <c r="D172" s="15" t="inlineStr">
        <is>
          <t>Открыть →</t>
        </is>
      </c>
      <c r="E172" s="6" t="inlineStr"/>
      <c r="F172" s="6" t="inlineStr"/>
    </row>
    <row r="173" ht="48" customHeight="1">
      <c r="A173" s="16" t="inlineStr">
        <is>
          <t>T-A7207ADC</t>
        </is>
      </c>
      <c r="B173" s="16" t="inlineStr">
        <is>
          <t>Подключение различных источников событий</t>
        </is>
      </c>
      <c r="C173" s="16" t="inlineStr">
        <is>
          <t>ОКБО</t>
        </is>
      </c>
      <c r="D173" s="17" t="inlineStr">
        <is>
          <t>Открыть →</t>
        </is>
      </c>
      <c r="E173" s="6" t="inlineStr"/>
      <c r="F173" s="6" t="inlineStr"/>
    </row>
    <row r="174" ht="48" customHeight="1">
      <c r="A174" s="14" t="inlineStr">
        <is>
          <t>T-8C6E913A</t>
        </is>
      </c>
      <c r="B174" s="14" t="inlineStr">
        <is>
          <t>Подсистемы безопасности операционных систем</t>
        </is>
      </c>
      <c r="C174" s="14" t="inlineStr">
        <is>
          <t>ЗИКС</t>
        </is>
      </c>
      <c r="D174" s="15" t="inlineStr">
        <is>
          <t>Открыть →</t>
        </is>
      </c>
      <c r="E174" s="6" t="inlineStr"/>
      <c r="F174" s="6" t="inlineStr"/>
    </row>
    <row r="175" ht="48" customHeight="1">
      <c r="A175" s="16" t="inlineStr">
        <is>
          <t>T-8A655C52</t>
        </is>
      </c>
      <c r="B175" s="16" t="inlineStr">
        <is>
          <t>Поиск и сбор доказательств в изолированной среде</t>
        </is>
      </c>
      <c r="C175" s="16" t="inlineStr">
        <is>
          <t>РКИОК</t>
        </is>
      </c>
      <c r="D175" s="17" t="inlineStr">
        <is>
          <t>Открыть →</t>
        </is>
      </c>
      <c r="E175" s="6" t="inlineStr"/>
      <c r="F175" s="6" t="inlineStr"/>
    </row>
    <row r="176" ht="64" customHeight="1">
      <c r="A176" s="14" t="inlineStr">
        <is>
          <t>T-7209DCF1</t>
        </is>
      </c>
      <c r="B176" s="14" t="inlineStr">
        <is>
          <t>Понятие аудита кибербезопасности, цели и задачи его проведения. Актуальность аудита, основные принципы и виды аудита кибербезопасности</t>
        </is>
      </c>
      <c r="C176" s="14" t="inlineStr">
        <is>
          <t>АУРИК</t>
        </is>
      </c>
      <c r="D176" s="15" t="inlineStr">
        <is>
          <t>Открыть →</t>
        </is>
      </c>
      <c r="E176" s="6" t="inlineStr"/>
      <c r="F176" s="6" t="inlineStr"/>
    </row>
    <row r="177" ht="48" customHeight="1">
      <c r="A177" s="16" t="inlineStr">
        <is>
          <t>T-6261BCD8</t>
        </is>
      </c>
      <c r="B177" s="16" t="inlineStr">
        <is>
          <t>Понятие пилотного проекта в сфере цифрового развития</t>
        </is>
      </c>
      <c r="C177" s="16" t="inlineStr">
        <is>
          <t>ЦТГУ</t>
        </is>
      </c>
      <c r="D177" s="17" t="inlineStr">
        <is>
          <t>Открыть →</t>
        </is>
      </c>
      <c r="E177" s="6" t="inlineStr"/>
      <c r="F177" s="6" t="inlineStr"/>
    </row>
    <row r="178" ht="64" customHeight="1">
      <c r="A178" s="14" t="inlineStr">
        <is>
          <t>T-D16425D5</t>
        </is>
      </c>
      <c r="B178" s="14" t="inlineStr">
        <is>
          <t>Порядок регистрации КИ. Порядок взаимодействия центра кибербезопасности с национальным центром кибербезопасности</t>
        </is>
      </c>
      <c r="C178" s="14" t="inlineStr">
        <is>
          <t>ОКБО</t>
        </is>
      </c>
      <c r="D178" s="15" t="inlineStr">
        <is>
          <t>Открыть →</t>
        </is>
      </c>
      <c r="E178" s="6" t="inlineStr"/>
      <c r="F178" s="6" t="inlineStr"/>
    </row>
    <row r="179" ht="48" customHeight="1">
      <c r="A179" s="16" t="inlineStr">
        <is>
          <t>T-162738D1</t>
        </is>
      </c>
      <c r="B179" s="16" t="inlineStr">
        <is>
          <t>Построение матрицы рисков и разработка политики безопасности</t>
        </is>
      </c>
      <c r="C179" s="16" t="inlineStr">
        <is>
          <t>РКИОК</t>
        </is>
      </c>
      <c r="D179" s="17" t="inlineStr">
        <is>
          <t>Открыть →</t>
        </is>
      </c>
      <c r="E179" s="6" t="inlineStr"/>
      <c r="F179" s="6" t="inlineStr"/>
    </row>
    <row r="180" ht="48" customHeight="1">
      <c r="A180" s="14" t="inlineStr">
        <is>
          <t>T-BE634D39</t>
        </is>
      </c>
      <c r="B180" s="14" t="inlineStr">
        <is>
          <t>Практические аспекты аттестации систем защиты информации</t>
        </is>
      </c>
      <c r="C180" s="14" t="inlineStr">
        <is>
          <t>АКБ; АУРИК</t>
        </is>
      </c>
      <c r="D180" s="15" t="inlineStr">
        <is>
          <t>Открыть →</t>
        </is>
      </c>
      <c r="E180" s="6" t="inlineStr"/>
      <c r="F180" s="6" t="inlineStr"/>
    </row>
    <row r="181" ht="48" customHeight="1">
      <c r="A181" s="16" t="inlineStr">
        <is>
          <t>T-4F3C56FD</t>
        </is>
      </c>
      <c r="B181" s="16" t="inlineStr">
        <is>
          <t>Презентация и защита проектного решения</t>
        </is>
      </c>
      <c r="C181" s="16" t="inlineStr">
        <is>
          <t>ЦТГУ</t>
        </is>
      </c>
      <c r="D181" s="17" t="inlineStr">
        <is>
          <t>Открыть →</t>
        </is>
      </c>
      <c r="E181" s="6" t="inlineStr"/>
      <c r="F181" s="6" t="inlineStr"/>
    </row>
    <row r="182" ht="64" customHeight="1">
      <c r="A182" s="14" t="inlineStr">
        <is>
          <t>T-8CD6AA88</t>
        </is>
      </c>
      <c r="B182" s="14" t="inlineStr">
        <is>
          <t>Прикладные протоколы. DHCP. DNS. HTTP. SMTP. HTTPS. Установка и настройка серверов для работы по прикладным протоколам</t>
        </is>
      </c>
      <c r="C182" s="14" t="inlineStr">
        <is>
          <t>КО</t>
        </is>
      </c>
      <c r="D182" s="15" t="inlineStr">
        <is>
          <t>Открыть →</t>
        </is>
      </c>
      <c r="E182" s="6" t="inlineStr"/>
      <c r="F182" s="6" t="inlineStr"/>
    </row>
    <row r="183" ht="48" customHeight="1">
      <c r="A183" s="16" t="inlineStr">
        <is>
          <t>T-6DC0F613</t>
        </is>
      </c>
      <c r="B183" s="16" t="inlineStr">
        <is>
          <t>Прикладные протоколы. Описание и применение прикладных протоколов</t>
        </is>
      </c>
      <c r="C183" s="16" t="inlineStr">
        <is>
          <t>КО</t>
        </is>
      </c>
      <c r="D183" s="17" t="inlineStr">
        <is>
          <t>Открыть →</t>
        </is>
      </c>
      <c r="E183" s="6" t="inlineStr"/>
      <c r="F183" s="6" t="inlineStr"/>
    </row>
    <row r="184" ht="48" customHeight="1">
      <c r="A184" s="14" t="inlineStr">
        <is>
          <t>T-77482F27</t>
        </is>
      </c>
      <c r="B184" s="14" t="inlineStr">
        <is>
          <t>Применение командной строки</t>
        </is>
      </c>
      <c r="C184" s="14" t="inlineStr">
        <is>
          <t>БКТ</t>
        </is>
      </c>
      <c r="D184" s="15" t="inlineStr">
        <is>
          <t>Открыть →</t>
        </is>
      </c>
      <c r="E184" s="6" t="inlineStr"/>
      <c r="F184" s="6" t="inlineStr"/>
    </row>
    <row r="185" ht="48" customHeight="1">
      <c r="A185" s="16" t="inlineStr">
        <is>
          <t>T-A7827890</t>
        </is>
      </c>
      <c r="B185" s="16" t="inlineStr">
        <is>
          <t>Применение машинного обучения в ИБ</t>
        </is>
      </c>
      <c r="C185" s="16" t="inlineStr">
        <is>
          <t>ПТИИМ</t>
        </is>
      </c>
      <c r="D185" s="17" t="inlineStr">
        <is>
          <t>Открыть →</t>
        </is>
      </c>
      <c r="E185" s="6" t="inlineStr"/>
      <c r="F185" s="6" t="inlineStr"/>
    </row>
    <row r="186" ht="48" customHeight="1">
      <c r="A186" s="14" t="inlineStr">
        <is>
          <t>T-A91970F7</t>
        </is>
      </c>
      <c r="B186" s="14" t="inlineStr">
        <is>
          <t>Принципы работы и защиты NGFW</t>
        </is>
      </c>
      <c r="C186" s="14" t="inlineStr">
        <is>
          <t>РКИОК</t>
        </is>
      </c>
      <c r="D186" s="15" t="inlineStr">
        <is>
          <t>Открыть →</t>
        </is>
      </c>
      <c r="E186" s="6" t="inlineStr"/>
      <c r="F186" s="6" t="inlineStr"/>
    </row>
    <row r="187" ht="48" customHeight="1">
      <c r="A187" s="16" t="inlineStr">
        <is>
          <t>T-AD42D9C6</t>
        </is>
      </c>
      <c r="B187" s="16" t="inlineStr">
        <is>
          <t>Проведение оценки рисков кибербезопасности</t>
        </is>
      </c>
      <c r="C187" s="16" t="inlineStr">
        <is>
          <t>АУРИК</t>
        </is>
      </c>
      <c r="D187" s="17" t="inlineStr">
        <is>
          <t>Открыть →</t>
        </is>
      </c>
      <c r="E187" s="6" t="inlineStr"/>
      <c r="F187" s="6" t="inlineStr"/>
    </row>
    <row r="188" ht="48" customHeight="1">
      <c r="A188" s="14" t="inlineStr">
        <is>
          <t>T-8E4770CC</t>
        </is>
      </c>
      <c r="B188" s="14" t="inlineStr">
        <is>
          <t>Проверка утечек, анализ IP и доменов, поиск в даркнете</t>
        </is>
      </c>
      <c r="C188" s="14" t="inlineStr">
        <is>
          <t>РКИОК</t>
        </is>
      </c>
      <c r="D188" s="15" t="inlineStr">
        <is>
          <t>Открыть →</t>
        </is>
      </c>
      <c r="E188" s="6" t="inlineStr"/>
      <c r="F188" s="6" t="inlineStr"/>
    </row>
    <row r="189" ht="48" customHeight="1">
      <c r="A189" s="16" t="inlineStr">
        <is>
          <t>T-8BF890EA</t>
        </is>
      </c>
      <c r="B189" s="16" t="inlineStr">
        <is>
          <t>Программно-аппаратные методы фильтрации трафика</t>
        </is>
      </c>
      <c r="C189" s="16" t="inlineStr">
        <is>
          <t>ККС; ТК</t>
        </is>
      </c>
      <c r="D189" s="17" t="inlineStr">
        <is>
          <t>Открыть →</t>
        </is>
      </c>
      <c r="E189" s="6" t="inlineStr"/>
      <c r="F189" s="6" t="inlineStr"/>
    </row>
    <row r="190" ht="48" customHeight="1">
      <c r="A190" s="14" t="inlineStr">
        <is>
          <t>T-94624995</t>
        </is>
      </c>
      <c r="B190" s="14" t="inlineStr">
        <is>
          <t>Проектирование и внедрение структурированных кабельных систем</t>
        </is>
      </c>
      <c r="C190" s="14" t="inlineStr">
        <is>
          <t>ОПКС</t>
        </is>
      </c>
      <c r="D190" s="15" t="inlineStr">
        <is>
          <t>Открыть →</t>
        </is>
      </c>
      <c r="E190" s="6" t="inlineStr"/>
      <c r="F190" s="6" t="inlineStr"/>
    </row>
    <row r="191" ht="48" customHeight="1">
      <c r="A191" s="16" t="inlineStr">
        <is>
          <t>T-F4D2B23F</t>
        </is>
      </c>
      <c r="B191" s="16" t="inlineStr">
        <is>
          <t>Проектирование и создание систем защиты информации</t>
        </is>
      </c>
      <c r="C191" s="16" t="inlineStr">
        <is>
          <t>ПСАЭ</t>
        </is>
      </c>
      <c r="D191" s="17" t="inlineStr">
        <is>
          <t>Открыть →</t>
        </is>
      </c>
      <c r="E191" s="6" t="inlineStr"/>
      <c r="F191" s="6" t="inlineStr"/>
    </row>
    <row r="192" ht="48" customHeight="1">
      <c r="A192" s="14" t="inlineStr">
        <is>
          <t>T-9BFE2CB8</t>
        </is>
      </c>
      <c r="B192" s="14" t="inlineStr">
        <is>
          <t>Проектный подход в цифровых инициативах</t>
        </is>
      </c>
      <c r="C192" s="14" t="inlineStr">
        <is>
          <t>ЦТГУ</t>
        </is>
      </c>
      <c r="D192" s="15" t="inlineStr">
        <is>
          <t>Открыть →</t>
        </is>
      </c>
      <c r="E192" s="6" t="inlineStr"/>
      <c r="F192" s="6" t="inlineStr"/>
    </row>
    <row r="193" ht="48" customHeight="1">
      <c r="A193" s="16" t="inlineStr">
        <is>
          <t>T-DE1BDCB4</t>
        </is>
      </c>
      <c r="B193" s="16" t="inlineStr">
        <is>
          <t>Противодействие целенаправленным кибератакам</t>
        </is>
      </c>
      <c r="C193" s="16" t="inlineStr">
        <is>
          <t>ТК</t>
        </is>
      </c>
      <c r="D193" s="17" t="inlineStr">
        <is>
          <t>Открыть →</t>
        </is>
      </c>
      <c r="E193" s="6" t="inlineStr"/>
      <c r="F193" s="6" t="inlineStr"/>
    </row>
    <row r="194" ht="48" customHeight="1">
      <c r="A194" s="14" t="inlineStr">
        <is>
          <t>T-9550B70A</t>
        </is>
      </c>
      <c r="B194" s="14" t="inlineStr">
        <is>
          <t>Протоколы DHCPv4, DHCPv6</t>
        </is>
      </c>
      <c r="C194" s="14" t="inlineStr">
        <is>
          <t>ОКМ</t>
        </is>
      </c>
      <c r="D194" s="15" t="inlineStr">
        <is>
          <t>Открыть →</t>
        </is>
      </c>
      <c r="E194" s="6" t="inlineStr"/>
      <c r="F194" s="6" t="inlineStr"/>
    </row>
    <row r="195" ht="48" customHeight="1">
      <c r="A195" s="16" t="inlineStr">
        <is>
          <t>T-E0A32CD6</t>
        </is>
      </c>
      <c r="B195" s="16" t="inlineStr">
        <is>
          <t>Работа с false positive: фильтрация, обогащение, подтверждение</t>
        </is>
      </c>
      <c r="C195" s="16" t="inlineStr">
        <is>
          <t>РКИОК</t>
        </is>
      </c>
      <c r="D195" s="17" t="inlineStr">
        <is>
          <t>Открыть →</t>
        </is>
      </c>
      <c r="E195" s="6" t="inlineStr"/>
      <c r="F195" s="6" t="inlineStr"/>
    </row>
    <row r="196" ht="48" customHeight="1">
      <c r="A196" s="14" t="inlineStr">
        <is>
          <t>T-7615F8DC</t>
        </is>
      </c>
      <c r="B196" s="14" t="inlineStr">
        <is>
          <t>Разбор типичных инцидентов</t>
        </is>
      </c>
      <c r="C196" s="14" t="inlineStr">
        <is>
          <t>РКИОК</t>
        </is>
      </c>
      <c r="D196" s="15" t="inlineStr">
        <is>
          <t>Открыть →</t>
        </is>
      </c>
      <c r="E196" s="6" t="inlineStr"/>
      <c r="F196" s="6" t="inlineStr"/>
    </row>
    <row r="197" ht="48" customHeight="1">
      <c r="A197" s="16" t="inlineStr">
        <is>
          <t>T-F21D19B1</t>
        </is>
      </c>
      <c r="B197" s="16" t="inlineStr">
        <is>
          <t>Разработка и документирование политик информационной безопасности</t>
        </is>
      </c>
      <c r="C197" s="16" t="inlineStr">
        <is>
          <t>ККС</t>
        </is>
      </c>
      <c r="D197" s="17" t="inlineStr">
        <is>
          <t>Открыть →</t>
        </is>
      </c>
      <c r="E197" s="6" t="inlineStr"/>
      <c r="F197" s="6" t="inlineStr"/>
    </row>
    <row r="198" ht="48" customHeight="1">
      <c r="A198" s="14" t="inlineStr">
        <is>
          <t>T-44695169</t>
        </is>
      </c>
      <c r="B198" s="14" t="inlineStr">
        <is>
          <t>Разработка политики информационной безопасности</t>
        </is>
      </c>
      <c r="C198" s="14" t="inlineStr">
        <is>
          <t>ПСАЭ</t>
        </is>
      </c>
      <c r="D198" s="15" t="inlineStr">
        <is>
          <t>Открыть →</t>
        </is>
      </c>
      <c r="E198" s="6" t="inlineStr"/>
      <c r="F198" s="6" t="inlineStr"/>
    </row>
    <row r="199" ht="48" customHeight="1">
      <c r="A199" s="16" t="inlineStr">
        <is>
          <t>T-356EA386</t>
        </is>
      </c>
      <c r="B199" s="16" t="inlineStr">
        <is>
          <t>Разработка предложений (проектных решений) по цифровой трансформации</t>
        </is>
      </c>
      <c r="C199" s="16" t="inlineStr">
        <is>
          <t>ЦТГУ</t>
        </is>
      </c>
      <c r="D199" s="17" t="inlineStr">
        <is>
          <t>Открыть →</t>
        </is>
      </c>
      <c r="E199" s="6" t="inlineStr"/>
      <c r="F199" s="6" t="inlineStr"/>
    </row>
    <row r="200" ht="48" customHeight="1">
      <c r="A200" s="14" t="inlineStr">
        <is>
          <t>T-FEC6B01F</t>
        </is>
      </c>
      <c r="B200" s="14" t="inlineStr">
        <is>
          <t>Разработка программы и методики аттестации</t>
        </is>
      </c>
      <c r="C200" s="14" t="inlineStr">
        <is>
          <t>ПСАЭ</t>
        </is>
      </c>
      <c r="D200" s="15" t="inlineStr">
        <is>
          <t>Открыть →</t>
        </is>
      </c>
      <c r="E200" s="6" t="inlineStr"/>
      <c r="F200" s="6" t="inlineStr"/>
    </row>
    <row r="201" ht="48" customHeight="1">
      <c r="A201" s="16" t="inlineStr">
        <is>
          <t>T-6AE9A30B</t>
        </is>
      </c>
      <c r="B201" s="16" t="inlineStr">
        <is>
          <t>Разработка структурной и логической схем системы защиты информации</t>
        </is>
      </c>
      <c r="C201" s="16" t="inlineStr">
        <is>
          <t>ПСАЭ</t>
        </is>
      </c>
      <c r="D201" s="17" t="inlineStr">
        <is>
          <t>Открыть →</t>
        </is>
      </c>
      <c r="E201" s="6" t="inlineStr"/>
      <c r="F201" s="6" t="inlineStr"/>
    </row>
    <row r="202" ht="48" customHeight="1">
      <c r="A202" s="14" t="inlineStr">
        <is>
          <t>T-26DD464B</t>
        </is>
      </c>
      <c r="B202" s="14" t="inlineStr">
        <is>
          <t>Разработка технического задания на создание системы защиты информации</t>
        </is>
      </c>
      <c r="C202" s="14" t="inlineStr">
        <is>
          <t>ПСАЭ</t>
        </is>
      </c>
      <c r="D202" s="15" t="inlineStr">
        <is>
          <t>Открыть →</t>
        </is>
      </c>
      <c r="E202" s="6" t="inlineStr"/>
      <c r="F202" s="6" t="inlineStr"/>
    </row>
    <row r="203" ht="48" customHeight="1">
      <c r="A203" s="16" t="inlineStr">
        <is>
          <t>T-02668D31</t>
        </is>
      </c>
      <c r="B203" s="16" t="inlineStr">
        <is>
          <t>Разработка технического задания, программы и методики испытаний, технического отчета и протокола испытаний</t>
        </is>
      </c>
      <c r="C203" s="16" t="inlineStr">
        <is>
          <t>ЗИОЗ; ТЗПД</t>
        </is>
      </c>
      <c r="D203" s="17" t="inlineStr">
        <is>
          <t>Открыть →</t>
        </is>
      </c>
      <c r="E203" s="6" t="inlineStr"/>
      <c r="F203" s="6" t="inlineStr"/>
    </row>
    <row r="204" ht="48" customHeight="1">
      <c r="A204" s="14" t="inlineStr">
        <is>
          <t>T-6ED2200F</t>
        </is>
      </c>
      <c r="B204" s="14" t="inlineStr">
        <is>
          <t>Разработка технического отчета и протокола испытаний</t>
        </is>
      </c>
      <c r="C204" s="14" t="inlineStr">
        <is>
          <t>ПСАЭ</t>
        </is>
      </c>
      <c r="D204" s="15" t="inlineStr">
        <is>
          <t>Открыть →</t>
        </is>
      </c>
      <c r="E204" s="6" t="inlineStr"/>
      <c r="F204" s="6" t="inlineStr"/>
    </row>
    <row r="205" ht="48" customHeight="1">
      <c r="A205" s="16" t="inlineStr">
        <is>
          <t>T-EA89BB86</t>
        </is>
      </c>
      <c r="B205" s="16" t="inlineStr">
        <is>
          <t>Реагирование на киберинциденты</t>
        </is>
      </c>
      <c r="C205" s="16" t="inlineStr">
        <is>
          <t>БКТ; ЗИОЗ; КВОИ</t>
        </is>
      </c>
      <c r="D205" s="17" t="inlineStr">
        <is>
          <t>Открыть →</t>
        </is>
      </c>
      <c r="E205" s="6" t="inlineStr"/>
      <c r="F205" s="6" t="inlineStr"/>
    </row>
    <row r="206" ht="48" customHeight="1">
      <c r="A206" s="14" t="inlineStr">
        <is>
          <t>T-BEC1F534</t>
        </is>
      </c>
      <c r="B206" s="14" t="inlineStr">
        <is>
          <t>Реагирование на киберинциденты. Подготовительные, организационные и практические мероприятия</t>
        </is>
      </c>
      <c r="C206" s="14" t="inlineStr">
        <is>
          <t>ОКБО</t>
        </is>
      </c>
      <c r="D206" s="15" t="inlineStr">
        <is>
          <t>Открыть →</t>
        </is>
      </c>
      <c r="E206" s="6" t="inlineStr"/>
      <c r="F206" s="6" t="inlineStr"/>
    </row>
    <row r="207" ht="48" customHeight="1">
      <c r="A207" s="16" t="inlineStr">
        <is>
          <t>T-78C3BD08</t>
        </is>
      </c>
      <c r="B207" s="16" t="inlineStr">
        <is>
          <t>Роли и взаимодействие команд (ЦКБ, IR)</t>
        </is>
      </c>
      <c r="C207" s="16" t="inlineStr">
        <is>
          <t>РКИОК</t>
        </is>
      </c>
      <c r="D207" s="17" t="inlineStr">
        <is>
          <t>Открыть →</t>
        </is>
      </c>
      <c r="E207" s="6" t="inlineStr"/>
      <c r="F207" s="6" t="inlineStr"/>
    </row>
    <row r="208" ht="48" customHeight="1">
      <c r="A208" s="14" t="inlineStr">
        <is>
          <t>T-074D07AA</t>
        </is>
      </c>
      <c r="B208" s="14" t="inlineStr">
        <is>
          <t>Роли и обязанности в ЦКБ</t>
        </is>
      </c>
      <c r="C208" s="14" t="inlineStr">
        <is>
          <t>ОКБО</t>
        </is>
      </c>
      <c r="D208" s="15" t="inlineStr">
        <is>
          <t>Открыть →</t>
        </is>
      </c>
      <c r="E208" s="6" t="inlineStr"/>
      <c r="F208" s="6" t="inlineStr"/>
    </row>
    <row r="209" ht="48" customHeight="1">
      <c r="A209" s="16" t="inlineStr">
        <is>
          <t>T-97CE9DB3</t>
        </is>
      </c>
      <c r="B209" s="16" t="inlineStr">
        <is>
          <t>Роль SOAR в структуре ЦКБ и его взаимодействие с системами SIEM</t>
        </is>
      </c>
      <c r="C209" s="16" t="inlineStr">
        <is>
          <t>РКИОК</t>
        </is>
      </c>
      <c r="D209" s="17" t="inlineStr">
        <is>
          <t>Открыть →</t>
        </is>
      </c>
      <c r="E209" s="6" t="inlineStr"/>
      <c r="F209" s="6" t="inlineStr"/>
    </row>
    <row r="210" ht="48" customHeight="1">
      <c r="A210" s="14" t="inlineStr">
        <is>
          <t>T-15C7B62E</t>
        </is>
      </c>
      <c r="B210" s="14" t="inlineStr">
        <is>
          <t>Роль и задачи администратора кибербезопасности</t>
        </is>
      </c>
      <c r="C210" s="14" t="inlineStr">
        <is>
          <t>АКБ</t>
        </is>
      </c>
      <c r="D210" s="15" t="inlineStr">
        <is>
          <t>Открыть →</t>
        </is>
      </c>
      <c r="E210" s="6" t="inlineStr"/>
      <c r="F210" s="6" t="inlineStr"/>
    </row>
    <row r="211" ht="48" customHeight="1">
      <c r="A211" s="16" t="inlineStr">
        <is>
          <t>T-0BCE0FDD</t>
        </is>
      </c>
      <c r="B211" s="16" t="inlineStr">
        <is>
          <t>Роль и задачи кибербезопасности</t>
        </is>
      </c>
      <c r="C211" s="16" t="inlineStr">
        <is>
          <t>БКТ</t>
        </is>
      </c>
      <c r="D211" s="17" t="inlineStr">
        <is>
          <t>Открыть →</t>
        </is>
      </c>
      <c r="E211" s="6" t="inlineStr"/>
      <c r="F211" s="6" t="inlineStr"/>
    </row>
    <row r="212" ht="64" customHeight="1">
      <c r="A212" s="14" t="inlineStr">
        <is>
          <t>T-62D4D00A</t>
        </is>
      </c>
      <c r="B212" s="14" t="inlineStr">
        <is>
          <t>Роль и задачи обеспечения кибербезопасности в сфере здравоохранения. Объекты информационной инфраструктуры организаций здравоохранения</t>
        </is>
      </c>
      <c r="C212" s="14" t="inlineStr">
        <is>
          <t>ЗИОЗ</t>
        </is>
      </c>
      <c r="D212" s="15" t="inlineStr">
        <is>
          <t>Открыть →</t>
        </is>
      </c>
      <c r="E212" s="6" t="inlineStr"/>
      <c r="F212" s="6" t="inlineStr"/>
    </row>
    <row r="213" ht="48" customHeight="1">
      <c r="A213" s="16" t="inlineStr">
        <is>
          <t>T-FE107062</t>
        </is>
      </c>
      <c r="B213" s="16" t="inlineStr">
        <is>
          <t>Сборка базового плейбука обработки фишинга. Создание визуального сценария реагирования</t>
        </is>
      </c>
      <c r="C213" s="16" t="inlineStr">
        <is>
          <t>ОКБО; РКИОК</t>
        </is>
      </c>
      <c r="D213" s="17" t="inlineStr">
        <is>
          <t>Открыть →</t>
        </is>
      </c>
      <c r="E213" s="6" t="inlineStr"/>
      <c r="F213" s="6" t="inlineStr"/>
    </row>
    <row r="214" ht="48" customHeight="1">
      <c r="A214" s="14" t="inlineStr">
        <is>
          <t>T-236E36A0</t>
        </is>
      </c>
      <c r="B214" s="14" t="inlineStr">
        <is>
          <t>Сводки, категории, IOC и контекст</t>
        </is>
      </c>
      <c r="C214" s="14" t="inlineStr">
        <is>
          <t>РКИОК</t>
        </is>
      </c>
      <c r="D214" s="15" t="inlineStr">
        <is>
          <t>Открыть →</t>
        </is>
      </c>
      <c r="E214" s="6" t="inlineStr"/>
      <c r="F214" s="6" t="inlineStr"/>
    </row>
    <row r="215" ht="48" customHeight="1">
      <c r="A215" s="16" t="inlineStr">
        <is>
          <t>T-F041B9F5</t>
        </is>
      </c>
      <c r="B215" s="16" t="inlineStr">
        <is>
          <t>Связка TI + SOAR: автоматическое обогащение</t>
        </is>
      </c>
      <c r="C215" s="16" t="inlineStr">
        <is>
          <t>РКИОК</t>
        </is>
      </c>
      <c r="D215" s="17" t="inlineStr">
        <is>
          <t>Открыть →</t>
        </is>
      </c>
      <c r="E215" s="6" t="inlineStr"/>
      <c r="F215" s="6" t="inlineStr"/>
    </row>
    <row r="216" ht="48" customHeight="1">
      <c r="A216" s="14" t="inlineStr">
        <is>
          <t>T-F331D245</t>
        </is>
      </c>
      <c r="B216" s="14" t="inlineStr">
        <is>
          <t>Сегментация сети и виртуальные локальные сети (VLAN)</t>
        </is>
      </c>
      <c r="C216" s="14" t="inlineStr">
        <is>
          <t>ОПКС</t>
        </is>
      </c>
      <c r="D216" s="15" t="inlineStr">
        <is>
          <t>Открыть →</t>
        </is>
      </c>
      <c r="E216" s="6" t="inlineStr"/>
      <c r="F216" s="6" t="inlineStr"/>
    </row>
    <row r="217" ht="48" customHeight="1">
      <c r="A217" s="16" t="inlineStr">
        <is>
          <t>T-1EF20152</t>
        </is>
      </c>
      <c r="B217" s="16" t="inlineStr">
        <is>
          <t>Сетевая (IP) адресация и маршрутизация</t>
        </is>
      </c>
      <c r="C217" s="16" t="inlineStr">
        <is>
          <t>ОПКС</t>
        </is>
      </c>
      <c r="D217" s="17" t="inlineStr">
        <is>
          <t>Открыть →</t>
        </is>
      </c>
      <c r="E217" s="6" t="inlineStr"/>
      <c r="F217" s="6" t="inlineStr"/>
    </row>
    <row r="218" ht="48" customHeight="1">
      <c r="A218" s="14" t="inlineStr">
        <is>
          <t>T-9654B8BE</t>
        </is>
      </c>
      <c r="B218" s="14" t="inlineStr">
        <is>
          <t>Симуляция фишинговой атаки: обнаружение (SIEM), обогащение IOC (TI), реакция (SOAR)</t>
        </is>
      </c>
      <c r="C218" s="14" t="inlineStr">
        <is>
          <t>РКИОК</t>
        </is>
      </c>
      <c r="D218" s="15" t="inlineStr">
        <is>
          <t>Открыть →</t>
        </is>
      </c>
      <c r="E218" s="6" t="inlineStr"/>
      <c r="F218" s="6" t="inlineStr"/>
    </row>
    <row r="219" ht="48" customHeight="1">
      <c r="A219" s="16" t="inlineStr">
        <is>
          <t>T-B989A854</t>
        </is>
      </c>
      <c r="B219" s="16" t="inlineStr">
        <is>
          <t>Система информационной безопасности критически важного объекта информатизации</t>
        </is>
      </c>
      <c r="C219" s="16" t="inlineStr">
        <is>
          <t>КВОИ</t>
        </is>
      </c>
      <c r="D219" s="17" t="inlineStr">
        <is>
          <t>Открыть →</t>
        </is>
      </c>
      <c r="E219" s="6" t="inlineStr"/>
      <c r="F219" s="6" t="inlineStr"/>
    </row>
    <row r="220" ht="48" customHeight="1">
      <c r="A220" s="14" t="inlineStr">
        <is>
          <t>T-B15220B1</t>
        </is>
      </c>
      <c r="B220" s="14" t="inlineStr">
        <is>
          <t>Система менеджмента информационной безопасности</t>
        </is>
      </c>
      <c r="C220" s="14" t="inlineStr">
        <is>
          <t>КВОИ</t>
        </is>
      </c>
      <c r="D220" s="15" t="inlineStr">
        <is>
          <t>Открыть →</t>
        </is>
      </c>
      <c r="E220" s="6" t="inlineStr"/>
      <c r="F220" s="6" t="inlineStr"/>
    </row>
    <row r="221" ht="48" customHeight="1">
      <c r="A221" s="16" t="inlineStr">
        <is>
          <t>T-5FC18368</t>
        </is>
      </c>
      <c r="B221" s="16" t="inlineStr">
        <is>
          <t>Системы сбора событий информационной безопасности</t>
        </is>
      </c>
      <c r="C221" s="16" t="inlineStr">
        <is>
          <t>ПСАЭ</t>
        </is>
      </c>
      <c r="D221" s="17" t="inlineStr">
        <is>
          <t>Открыть →</t>
        </is>
      </c>
      <c r="E221" s="6" t="inlineStr"/>
      <c r="F221" s="6" t="inlineStr"/>
    </row>
    <row r="222" ht="48" customHeight="1">
      <c r="A222" s="14" t="inlineStr">
        <is>
          <t>T-C32FEFB2</t>
        </is>
      </c>
      <c r="B222" s="14" t="inlineStr">
        <is>
          <t>Совместное использование протоколов IPv4 и IPv6</t>
        </is>
      </c>
      <c r="C222" s="14" t="inlineStr">
        <is>
          <t>ОКМ</t>
        </is>
      </c>
      <c r="D222" s="15" t="inlineStr">
        <is>
          <t>Открыть →</t>
        </is>
      </c>
      <c r="E222" s="6" t="inlineStr"/>
      <c r="F222" s="6" t="inlineStr"/>
    </row>
    <row r="223" ht="48" customHeight="1">
      <c r="A223" s="16" t="inlineStr">
        <is>
          <t>T-78EF094E</t>
        </is>
      </c>
      <c r="B223" s="16" t="inlineStr">
        <is>
          <t>Совместное функционирование систем SIEM, SOAR и TIP</t>
        </is>
      </c>
      <c r="C223" s="16" t="inlineStr">
        <is>
          <t>ОКБО</t>
        </is>
      </c>
      <c r="D223" s="17" t="inlineStr">
        <is>
          <t>Открыть →</t>
        </is>
      </c>
      <c r="E223" s="6" t="inlineStr"/>
      <c r="F223" s="6" t="inlineStr"/>
    </row>
    <row r="224" ht="48" customHeight="1">
      <c r="A224" s="14" t="inlineStr">
        <is>
          <t>T-089091A6</t>
        </is>
      </c>
      <c r="B224" s="14" t="inlineStr">
        <is>
          <t>Совместное функционирование систем SOAR, SIEM и платформ обмена разведданными</t>
        </is>
      </c>
      <c r="C224" s="14" t="inlineStr">
        <is>
          <t>РКИОК</t>
        </is>
      </c>
      <c r="D224" s="15" t="inlineStr">
        <is>
          <t>Открыть →</t>
        </is>
      </c>
      <c r="E224" s="6" t="inlineStr"/>
      <c r="F224" s="6" t="inlineStr"/>
    </row>
    <row r="225" ht="48" customHeight="1">
      <c r="A225" s="16" t="inlineStr">
        <is>
          <t>T-A00F34B3</t>
        </is>
      </c>
      <c r="B225" s="16" t="inlineStr">
        <is>
          <t>Создание комплексного плейбука с обогащением и ответными действиями</t>
        </is>
      </c>
      <c r="C225" s="16" t="inlineStr">
        <is>
          <t>РКИОК</t>
        </is>
      </c>
      <c r="D225" s="17" t="inlineStr">
        <is>
          <t>Открыть →</t>
        </is>
      </c>
      <c r="E225" s="6" t="inlineStr"/>
      <c r="F225" s="6" t="inlineStr"/>
    </row>
    <row r="226" ht="48" customHeight="1">
      <c r="A226" s="14" t="inlineStr">
        <is>
          <t>T-686A516E</t>
        </is>
      </c>
      <c r="B226" s="14" t="inlineStr">
        <is>
          <t>Создание сценария автоматизации и устранения угрозы. Поиск уязвимостей в изолированной среде</t>
        </is>
      </c>
      <c r="C226" s="14" t="inlineStr">
        <is>
          <t>РКИОК</t>
        </is>
      </c>
      <c r="D226" s="15" t="inlineStr">
        <is>
          <t>Открыть →</t>
        </is>
      </c>
      <c r="E226" s="6" t="inlineStr"/>
      <c r="F226" s="6" t="inlineStr"/>
    </row>
    <row r="227" ht="48" customHeight="1">
      <c r="A227" s="16" t="inlineStr">
        <is>
          <t>T-D65B56DA</t>
        </is>
      </c>
      <c r="B227" s="16" t="inlineStr">
        <is>
          <t>Создание фида угроз. Сценарий обогащения IOC через внешние источники. Интеграция TI в плейбук</t>
        </is>
      </c>
      <c r="C227" s="16" t="inlineStr">
        <is>
          <t>ОКБО; РКИОК</t>
        </is>
      </c>
      <c r="D227" s="17" t="inlineStr">
        <is>
          <t>Открыть →</t>
        </is>
      </c>
      <c r="E227" s="6" t="inlineStr"/>
      <c r="F227" s="6" t="inlineStr"/>
    </row>
    <row r="228" ht="64" customHeight="1">
      <c r="A228" s="14" t="inlineStr">
        <is>
          <t>T-7FD25D51</t>
        </is>
      </c>
      <c r="B228" s="14" t="inlineStr">
        <is>
          <t>Сопоставление событий с техниками MITRE ATT&amp;CK, построение цепочки действий злоумышленника, показ примеров атак и их последствий на базе киберполигона</t>
        </is>
      </c>
      <c r="C228" s="14" t="inlineStr">
        <is>
          <t>ОКБО</t>
        </is>
      </c>
      <c r="D228" s="15" t="inlineStr">
        <is>
          <t>Открыть →</t>
        </is>
      </c>
      <c r="E228" s="6" t="inlineStr"/>
      <c r="F228" s="6" t="inlineStr"/>
    </row>
    <row r="229" ht="48" customHeight="1">
      <c r="A229" s="16" t="inlineStr">
        <is>
          <t>T-8EEE0E81</t>
        </is>
      </c>
      <c r="B229" s="16" t="inlineStr">
        <is>
          <t>Списки управления доступом</t>
        </is>
      </c>
      <c r="C229" s="16" t="inlineStr">
        <is>
          <t>ТК</t>
        </is>
      </c>
      <c r="D229" s="17" t="inlineStr">
        <is>
          <t>Открыть →</t>
        </is>
      </c>
      <c r="E229" s="6" t="inlineStr"/>
      <c r="F229" s="6" t="inlineStr"/>
    </row>
    <row r="230" ht="48" customHeight="1">
      <c r="A230" s="14" t="inlineStr">
        <is>
          <t>T-E8666CD3</t>
        </is>
      </c>
      <c r="B230" s="14" t="inlineStr">
        <is>
          <t>Средства защиты: антивирусное ПО, брандмауэры, EDR, XDR, UEBA</t>
        </is>
      </c>
      <c r="C230" s="14" t="inlineStr">
        <is>
          <t>ОКБО</t>
        </is>
      </c>
      <c r="D230" s="15" t="inlineStr">
        <is>
          <t>Открыть →</t>
        </is>
      </c>
      <c r="E230" s="6" t="inlineStr"/>
      <c r="F230" s="6" t="inlineStr"/>
    </row>
    <row r="231" ht="48" customHeight="1">
      <c r="A231" s="16" t="inlineStr">
        <is>
          <t>T-F5742C06</t>
        </is>
      </c>
      <c r="B231" s="16" t="inlineStr">
        <is>
          <t>Средства криптографической защиты информации</t>
        </is>
      </c>
      <c r="C231" s="16" t="inlineStr">
        <is>
          <t>ККС; КО; ОКМ; ОПКС</t>
        </is>
      </c>
      <c r="D231" s="17" t="inlineStr">
        <is>
          <t>Открыть →</t>
        </is>
      </c>
      <c r="E231" s="6" t="inlineStr"/>
      <c r="F231" s="6" t="inlineStr"/>
    </row>
    <row r="232" ht="48" customHeight="1">
      <c r="A232" s="14" t="inlineStr">
        <is>
          <t>T-10FDD2AB</t>
        </is>
      </c>
      <c r="B232" s="14" t="inlineStr">
        <is>
          <t>Средства технической защиты информации</t>
        </is>
      </c>
      <c r="C232" s="14" t="inlineStr">
        <is>
          <t>АКБ; АУРИК; ЗИКС; ККС; ОПКС</t>
        </is>
      </c>
      <c r="D232" s="15" t="inlineStr">
        <is>
          <t>Открыть →</t>
        </is>
      </c>
      <c r="E232" s="6" t="inlineStr"/>
      <c r="F232" s="6" t="inlineStr"/>
    </row>
    <row r="233" ht="48" customHeight="1">
      <c r="A233" s="16" t="inlineStr">
        <is>
          <t>T-CA997851</t>
        </is>
      </c>
      <c r="B233" s="16" t="inlineStr">
        <is>
          <t>Сценарии анализа: вредоносные IP, домены, хэши</t>
        </is>
      </c>
      <c r="C233" s="16" t="inlineStr">
        <is>
          <t>РКИОК</t>
        </is>
      </c>
      <c r="D233" s="17" t="inlineStr">
        <is>
          <t>Открыть →</t>
        </is>
      </c>
      <c r="E233" s="6" t="inlineStr"/>
      <c r="F233" s="6" t="inlineStr"/>
    </row>
    <row r="234" ht="48" customHeight="1">
      <c r="A234" s="14" t="inlineStr">
        <is>
          <t>T-F9900139</t>
        </is>
      </c>
      <c r="B234" s="14" t="inlineStr">
        <is>
          <t>Технические средства защиты информации</t>
        </is>
      </c>
      <c r="C234" s="14" t="inlineStr">
        <is>
          <t>ОКМ</t>
        </is>
      </c>
      <c r="D234" s="15" t="inlineStr">
        <is>
          <t>Открыть →</t>
        </is>
      </c>
      <c r="E234" s="6" t="inlineStr"/>
      <c r="F234" s="6" t="inlineStr"/>
    </row>
    <row r="235" ht="48" customHeight="1">
      <c r="A235" s="16" t="inlineStr">
        <is>
          <t>T-AC32D2AB</t>
        </is>
      </c>
      <c r="B235" s="16" t="inlineStr">
        <is>
          <t>Технические средства защиты информации. Проблемы безопасности беспроводных сетей и интернета вещей</t>
        </is>
      </c>
      <c r="C235" s="16" t="inlineStr">
        <is>
          <t>КО</t>
        </is>
      </c>
      <c r="D235" s="17" t="inlineStr">
        <is>
          <t>Открыть →</t>
        </is>
      </c>
      <c r="E235" s="6" t="inlineStr"/>
      <c r="F235" s="6" t="inlineStr"/>
    </row>
    <row r="236" ht="48" customHeight="1">
      <c r="A236" s="14" t="inlineStr">
        <is>
          <t>T-91C88926</t>
        </is>
      </c>
      <c r="B236" s="14" t="inlineStr">
        <is>
          <t>Технологии организации VPN-туннелей</t>
        </is>
      </c>
      <c r="C236" s="14" t="inlineStr">
        <is>
          <t>ТК</t>
        </is>
      </c>
      <c r="D236" s="15" t="inlineStr">
        <is>
          <t>Открыть →</t>
        </is>
      </c>
      <c r="E236" s="6" t="inlineStr"/>
      <c r="F236" s="6" t="inlineStr"/>
    </row>
    <row r="237" ht="48" customHeight="1">
      <c r="A237" s="16" t="inlineStr">
        <is>
          <t>T-56CB2759</t>
        </is>
      </c>
      <c r="B237" s="16" t="inlineStr">
        <is>
          <t>Технологии трансляции IP-адресов</t>
        </is>
      </c>
      <c r="C237" s="16" t="inlineStr">
        <is>
          <t>ОКМ</t>
        </is>
      </c>
      <c r="D237" s="17" t="inlineStr">
        <is>
          <t>Открыть →</t>
        </is>
      </c>
      <c r="E237" s="6" t="inlineStr"/>
      <c r="F237" s="6" t="inlineStr"/>
    </row>
    <row r="238" ht="48" customHeight="1">
      <c r="A238" s="14" t="inlineStr">
        <is>
          <t>T-13F397A0</t>
        </is>
      </c>
      <c r="B238" s="14" t="inlineStr">
        <is>
          <t>Технологии электронной цифровой подписи</t>
        </is>
      </c>
      <c r="C238" s="14" t="inlineStr">
        <is>
          <t>ККС</t>
        </is>
      </c>
      <c r="D238" s="15" t="inlineStr">
        <is>
          <t>Открыть →</t>
        </is>
      </c>
      <c r="E238" s="6" t="inlineStr"/>
      <c r="F238" s="6" t="inlineStr"/>
    </row>
    <row r="239" ht="48" customHeight="1">
      <c r="A239" s="16" t="inlineStr">
        <is>
          <t>T-1A43E6C1</t>
        </is>
      </c>
      <c r="B239" s="16" t="inlineStr">
        <is>
          <t>Технология изоляции Sandbox</t>
        </is>
      </c>
      <c r="C239" s="16" t="inlineStr">
        <is>
          <t>ОКБО</t>
        </is>
      </c>
      <c r="D239" s="17" t="inlineStr">
        <is>
          <t>Открыть →</t>
        </is>
      </c>
      <c r="E239" s="6" t="inlineStr"/>
      <c r="F239" s="6" t="inlineStr"/>
    </row>
    <row r="240" ht="48" customHeight="1">
      <c r="A240" s="14" t="inlineStr">
        <is>
          <t>T-89E9A90C</t>
        </is>
      </c>
      <c r="B240" s="14" t="inlineStr">
        <is>
          <t>Типовые плейбуки: фишинг, заражённый хост, подозрительная активность</t>
        </is>
      </c>
      <c r="C240" s="14" t="inlineStr">
        <is>
          <t>РКИОК</t>
        </is>
      </c>
      <c r="D240" s="15" t="inlineStr">
        <is>
          <t>Открыть →</t>
        </is>
      </c>
      <c r="E240" s="6" t="inlineStr"/>
      <c r="F240" s="6" t="inlineStr"/>
    </row>
    <row r="241" ht="48" customHeight="1">
      <c r="A241" s="16" t="inlineStr">
        <is>
          <t>T-9ED88B73</t>
        </is>
      </c>
      <c r="B241" s="16" t="inlineStr">
        <is>
          <t>Типовые сценарии интеграции</t>
        </is>
      </c>
      <c r="C241" s="16" t="inlineStr">
        <is>
          <t>РКИОК</t>
        </is>
      </c>
      <c r="D241" s="17" t="inlineStr">
        <is>
          <t>Открыть →</t>
        </is>
      </c>
      <c r="E241" s="6" t="inlineStr"/>
      <c r="F241" s="6" t="inlineStr"/>
    </row>
    <row r="242" ht="48" customHeight="1">
      <c r="A242" s="14" t="inlineStr">
        <is>
          <t>T-A838C311</t>
        </is>
      </c>
      <c r="B242" s="14" t="inlineStr">
        <is>
          <t>Типы TI: стратегическая, тактическая, оперативная, техническая</t>
        </is>
      </c>
      <c r="C242" s="14" t="inlineStr">
        <is>
          <t>РКИОК</t>
        </is>
      </c>
      <c r="D242" s="15" t="inlineStr">
        <is>
          <t>Открыть →</t>
        </is>
      </c>
      <c r="E242" s="6" t="inlineStr"/>
      <c r="F242" s="6" t="inlineStr"/>
    </row>
    <row r="243" ht="80" customHeight="1">
      <c r="A243" s="16" t="inlineStr">
        <is>
          <t>T-01727FC2</t>
        </is>
      </c>
      <c r="B243" s="16" t="inlineStr">
        <is>
          <t>Типы источников событий информационной безопасности. Теоретические аспекты подключения источников событий ИБ в SIEM (события Windows/Linux, СУБД, телекоммуникационного оборудования, антивируса, NGFW с функцией ips)</t>
        </is>
      </c>
      <c r="C243" s="16" t="inlineStr">
        <is>
          <t>ОКБО</t>
        </is>
      </c>
      <c r="D243" s="17" t="inlineStr">
        <is>
          <t>Открыть →</t>
        </is>
      </c>
      <c r="E243" s="6" t="inlineStr"/>
      <c r="F243" s="6" t="inlineStr"/>
    </row>
    <row r="244" ht="48" customHeight="1">
      <c r="A244" s="14" t="inlineStr">
        <is>
          <t>T-0DC470E6</t>
        </is>
      </c>
      <c r="B244" s="14" t="inlineStr">
        <is>
          <t>Топология сети при использовании межсетевых экранов</t>
        </is>
      </c>
      <c r="C244" s="14" t="inlineStr">
        <is>
          <t>ТК</t>
        </is>
      </c>
      <c r="D244" s="15" t="inlineStr">
        <is>
          <t>Открыть →</t>
        </is>
      </c>
      <c r="E244" s="6" t="inlineStr"/>
      <c r="F244" s="6" t="inlineStr"/>
    </row>
    <row r="245" ht="48" customHeight="1">
      <c r="A245" s="16" t="inlineStr">
        <is>
          <t>T-42D3BA79</t>
        </is>
      </c>
      <c r="B245" s="16" t="inlineStr">
        <is>
          <t>Требования безопасности к средствам криптографической защиты информации</t>
        </is>
      </c>
      <c r="C245" s="16" t="inlineStr">
        <is>
          <t>КЗИ</t>
        </is>
      </c>
      <c r="D245" s="17" t="inlineStr">
        <is>
          <t>Открыть →</t>
        </is>
      </c>
      <c r="E245" s="6" t="inlineStr"/>
      <c r="F245" s="6" t="inlineStr"/>
    </row>
    <row r="246" ht="48" customHeight="1">
      <c r="A246" s="14" t="inlineStr">
        <is>
          <t>T-AED659CE</t>
        </is>
      </c>
      <c r="B246" s="14" t="inlineStr">
        <is>
          <t>Требования к системам защиты информации</t>
        </is>
      </c>
      <c r="C246" s="14" t="inlineStr">
        <is>
          <t>АКБ; ЗИКС</t>
        </is>
      </c>
      <c r="D246" s="15" t="inlineStr">
        <is>
          <t>Открыть →</t>
        </is>
      </c>
      <c r="E246" s="6" t="inlineStr"/>
      <c r="F246" s="6" t="inlineStr"/>
    </row>
    <row r="247" ht="48" customHeight="1">
      <c r="A247" s="16" t="inlineStr">
        <is>
          <t>T-FB249971</t>
        </is>
      </c>
      <c r="B247" s="16" t="inlineStr">
        <is>
          <t>Требования к системам защиты информации. Аттестация систем защиты информации</t>
        </is>
      </c>
      <c r="C247" s="16" t="inlineStr">
        <is>
          <t>ОПКС</t>
        </is>
      </c>
      <c r="D247" s="17" t="inlineStr">
        <is>
          <t>Открыть →</t>
        </is>
      </c>
      <c r="E247" s="6" t="inlineStr"/>
      <c r="F247" s="6" t="inlineStr"/>
    </row>
    <row r="248" ht="48" customHeight="1">
      <c r="A248" s="14" t="inlineStr">
        <is>
          <t>T-4C9FADFD</t>
        </is>
      </c>
      <c r="B248" s="14" t="inlineStr">
        <is>
          <t>Требования к системам защиты информации для типовых информационных систем</t>
        </is>
      </c>
      <c r="C248" s="14" t="inlineStr">
        <is>
          <t>ПСАЭ</t>
        </is>
      </c>
      <c r="D248" s="15" t="inlineStr">
        <is>
          <t>Открыть →</t>
        </is>
      </c>
      <c r="E248" s="6" t="inlineStr"/>
      <c r="F248" s="6" t="inlineStr"/>
    </row>
    <row r="249" ht="48" customHeight="1">
      <c r="A249" s="16" t="inlineStr">
        <is>
          <t>T-B2AE2A95</t>
        </is>
      </c>
      <c r="B249" s="16" t="inlineStr">
        <is>
          <t>Требования к системе защиты информации информационных систем</t>
        </is>
      </c>
      <c r="C249" s="16" t="inlineStr">
        <is>
          <t>КВОИ</t>
        </is>
      </c>
      <c r="D249" s="17" t="inlineStr">
        <is>
          <t>Открыть →</t>
        </is>
      </c>
      <c r="E249" s="6" t="inlineStr"/>
      <c r="F249" s="6" t="inlineStr"/>
    </row>
    <row r="250" ht="48" customHeight="1">
      <c r="A250" s="14" t="inlineStr">
        <is>
          <t>T-615AA328</t>
        </is>
      </c>
      <c r="B250" s="14" t="inlineStr">
        <is>
          <t>Требования по кибербезопасности</t>
        </is>
      </c>
      <c r="C250" s="14" t="inlineStr">
        <is>
          <t>АУРИК; БКТ; ЗИОЗ; КВОИ; ТЗПД</t>
        </is>
      </c>
      <c r="D250" s="15" t="inlineStr">
        <is>
          <t>Открыть →</t>
        </is>
      </c>
      <c r="E250" s="6" t="inlineStr"/>
      <c r="F250" s="6" t="inlineStr"/>
    </row>
    <row r="251" ht="64" customHeight="1">
      <c r="A251" s="16" t="inlineStr">
        <is>
          <t>T-41BAC61B</t>
        </is>
      </c>
      <c r="B251" s="16" t="inlineStr">
        <is>
          <t>Требования по кибербезопасности объектов информационной инфраструктуры государственных органов и иных организаций</t>
        </is>
      </c>
      <c r="C251" s="16" t="inlineStr">
        <is>
          <t>ОКБО</t>
        </is>
      </c>
      <c r="D251" s="17" t="inlineStr">
        <is>
          <t>Открыть →</t>
        </is>
      </c>
      <c r="E251" s="6" t="inlineStr"/>
      <c r="F251" s="6" t="inlineStr"/>
    </row>
    <row r="252" ht="48" customHeight="1">
      <c r="A252" s="14" t="inlineStr">
        <is>
          <t>T-7D4709CE</t>
        </is>
      </c>
      <c r="B252" s="14" t="inlineStr">
        <is>
          <t>Тренды киберпреступности. Кибератаки с использованием методов социальной инженерии</t>
        </is>
      </c>
      <c r="C252" s="14" t="inlineStr">
        <is>
          <t>КО</t>
        </is>
      </c>
      <c r="D252" s="15" t="inlineStr">
        <is>
          <t>Открыть →</t>
        </is>
      </c>
      <c r="E252" s="6" t="inlineStr"/>
      <c r="F252" s="6" t="inlineStr"/>
    </row>
    <row r="253" ht="48" customHeight="1">
      <c r="A253" s="16" t="inlineStr">
        <is>
          <t>T-D2A4FAE7</t>
        </is>
      </c>
      <c r="B253" s="16" t="inlineStr">
        <is>
          <t>Управление киберинцидентами</t>
        </is>
      </c>
      <c r="C253" s="16" t="inlineStr">
        <is>
          <t>АКБ; АУРИК</t>
        </is>
      </c>
      <c r="D253" s="17" t="inlineStr">
        <is>
          <t>Открыть →</t>
        </is>
      </c>
      <c r="E253" s="6" t="inlineStr"/>
      <c r="F253" s="6" t="inlineStr"/>
    </row>
    <row r="254" ht="48" customHeight="1">
      <c r="A254" s="14" t="inlineStr">
        <is>
          <t>T-F2B40F58</t>
        </is>
      </c>
      <c r="B254" s="14" t="inlineStr">
        <is>
          <t>Управление обновлениями и устранение уязвимостей</t>
        </is>
      </c>
      <c r="C254" s="14" t="inlineStr">
        <is>
          <t>ОКБО</t>
        </is>
      </c>
      <c r="D254" s="15" t="inlineStr">
        <is>
          <t>Открыть →</t>
        </is>
      </c>
      <c r="E254" s="6" t="inlineStr"/>
      <c r="F254" s="6" t="inlineStr"/>
    </row>
    <row r="255" ht="48" customHeight="1">
      <c r="A255" s="16" t="inlineStr">
        <is>
          <t>T-2CAF7650</t>
        </is>
      </c>
      <c r="B255" s="16" t="inlineStr">
        <is>
          <t>Управление рисками кибербезопасности</t>
        </is>
      </c>
      <c r="C255" s="16" t="inlineStr">
        <is>
          <t>АКБ; БКТ; ТЗПД; ТК</t>
        </is>
      </c>
      <c r="D255" s="17" t="inlineStr">
        <is>
          <t>Открыть →</t>
        </is>
      </c>
      <c r="E255" s="6" t="inlineStr"/>
      <c r="F255" s="6" t="inlineStr"/>
    </row>
    <row r="256" ht="48" customHeight="1">
      <c r="A256" s="14" t="inlineStr">
        <is>
          <t>T-306E1D90</t>
        </is>
      </c>
      <c r="B256" s="14" t="inlineStr">
        <is>
          <t>Управление рисками кибербезопасности. Аудиты в области обеспечения кибербезопасности</t>
        </is>
      </c>
      <c r="C256" s="14" t="inlineStr">
        <is>
          <t>ЗИКС; ККС; КО; ОКМ; ОПКС</t>
        </is>
      </c>
      <c r="D256" s="15" t="inlineStr">
        <is>
          <t>Открыть →</t>
        </is>
      </c>
      <c r="E256" s="6" t="inlineStr"/>
      <c r="F256" s="6" t="inlineStr"/>
    </row>
    <row r="257" ht="48" customHeight="1">
      <c r="A257" s="16" t="inlineStr">
        <is>
          <t>T-ABB5DBDC</t>
        </is>
      </c>
      <c r="B257" s="16" t="inlineStr">
        <is>
          <t>Управление рисками кибербезопасности в сфере здравоохранения</t>
        </is>
      </c>
      <c r="C257" s="16" t="inlineStr">
        <is>
          <t>ЗИОЗ</t>
        </is>
      </c>
      <c r="D257" s="17" t="inlineStr">
        <is>
          <t>Открыть →</t>
        </is>
      </c>
      <c r="E257" s="6" t="inlineStr"/>
      <c r="F257" s="6" t="inlineStr"/>
    </row>
    <row r="258" ht="48" customHeight="1">
      <c r="A258" s="14" t="inlineStr">
        <is>
          <t>T-CBD50885</t>
        </is>
      </c>
      <c r="B258" s="14" t="inlineStr">
        <is>
          <t>Управление рисками кибербезопасности, корректирующие и превентивные действия, контроль выполнения принятых мер</t>
        </is>
      </c>
      <c r="C258" s="14" t="inlineStr">
        <is>
          <t>АУРИК</t>
        </is>
      </c>
      <c r="D258" s="15" t="inlineStr">
        <is>
          <t>Открыть →</t>
        </is>
      </c>
      <c r="E258" s="6" t="inlineStr"/>
      <c r="F258" s="6" t="inlineStr"/>
    </row>
    <row r="259" ht="48" customHeight="1">
      <c r="A259" s="16" t="inlineStr">
        <is>
          <t>T-195D56B5</t>
        </is>
      </c>
      <c r="B259" s="16" t="inlineStr">
        <is>
          <t>Управление рисками кибербезопасности на критически важных объектах информатизации</t>
        </is>
      </c>
      <c r="C259" s="16" t="inlineStr">
        <is>
          <t>КВОИ</t>
        </is>
      </c>
      <c r="D259" s="17" t="inlineStr">
        <is>
          <t>Открыть →</t>
        </is>
      </c>
      <c r="E259" s="6" t="inlineStr"/>
      <c r="F259" s="6" t="inlineStr"/>
    </row>
    <row r="260" ht="48" customHeight="1">
      <c r="A260" s="14" t="inlineStr">
        <is>
          <t>T-7E0D748E</t>
        </is>
      </c>
      <c r="B260" s="14" t="inlineStr">
        <is>
          <t>Управление рисками, уязвимостями, угрозами</t>
        </is>
      </c>
      <c r="C260" s="14" t="inlineStr">
        <is>
          <t>ОКБО</t>
        </is>
      </c>
      <c r="D260" s="15" t="inlineStr">
        <is>
          <t>Открыть →</t>
        </is>
      </c>
      <c r="E260" s="6" t="inlineStr"/>
      <c r="F260" s="6" t="inlineStr"/>
    </row>
    <row r="261" ht="48" customHeight="1">
      <c r="A261" s="16" t="inlineStr">
        <is>
          <t>T-5DAB8241</t>
        </is>
      </c>
      <c r="B261" s="16" t="inlineStr">
        <is>
          <t>Управление уязвимостями информационных систем</t>
        </is>
      </c>
      <c r="C261" s="16" t="inlineStr">
        <is>
          <t>ПСАЭ</t>
        </is>
      </c>
      <c r="D261" s="17" t="inlineStr">
        <is>
          <t>Открыть →</t>
        </is>
      </c>
      <c r="E261" s="6" t="inlineStr"/>
      <c r="F261" s="6" t="inlineStr"/>
    </row>
    <row r="262" ht="48" customHeight="1">
      <c r="A262" s="14" t="inlineStr">
        <is>
          <t>T-F5496B09</t>
        </is>
      </c>
      <c r="B262" s="14" t="inlineStr">
        <is>
          <t>Уязвимости DHCP и DNS протоколов</t>
        </is>
      </c>
      <c r="C262" s="14" t="inlineStr">
        <is>
          <t>ТК</t>
        </is>
      </c>
      <c r="D262" s="15" t="inlineStr">
        <is>
          <t>Открыть →</t>
        </is>
      </c>
      <c r="E262" s="6" t="inlineStr"/>
      <c r="F262" s="6" t="inlineStr"/>
    </row>
    <row r="263" ht="48" customHeight="1">
      <c r="A263" s="16" t="inlineStr">
        <is>
          <t>T-1CEFEBB1</t>
        </is>
      </c>
      <c r="B263" s="16" t="inlineStr">
        <is>
          <t>Уязвимости виртуальных локальных сетей</t>
        </is>
      </c>
      <c r="C263" s="16" t="inlineStr">
        <is>
          <t>ТК</t>
        </is>
      </c>
      <c r="D263" s="17" t="inlineStr">
        <is>
          <t>Открыть →</t>
        </is>
      </c>
      <c r="E263" s="6" t="inlineStr"/>
      <c r="F263" s="6" t="inlineStr"/>
    </row>
    <row r="264" ht="48" customHeight="1">
      <c r="A264" s="14" t="inlineStr">
        <is>
          <t>T-17A5CA4D</t>
        </is>
      </c>
      <c r="B264" s="14" t="inlineStr">
        <is>
          <t>Уязвимости объектов информационной инфраструктуры</t>
        </is>
      </c>
      <c r="C264" s="14" t="inlineStr">
        <is>
          <t>ОПКС</t>
        </is>
      </c>
      <c r="D264" s="15" t="inlineStr">
        <is>
          <t>Открыть →</t>
        </is>
      </c>
      <c r="E264" s="6" t="inlineStr"/>
      <c r="F264" s="6" t="inlineStr"/>
    </row>
    <row r="265" ht="48" customHeight="1">
      <c r="A265" s="16" t="inlineStr">
        <is>
          <t>T-B5070575</t>
        </is>
      </c>
      <c r="B265" s="16" t="inlineStr">
        <is>
          <t>Уязвимости объектов информационной инфраструктуры и их активов</t>
        </is>
      </c>
      <c r="C265" s="16" t="inlineStr">
        <is>
          <t>КО; ОКМ</t>
        </is>
      </c>
      <c r="D265" s="17" t="inlineStr">
        <is>
          <t>Открыть →</t>
        </is>
      </c>
      <c r="E265" s="6" t="inlineStr"/>
      <c r="F265" s="6" t="inlineStr"/>
    </row>
    <row r="266" ht="48" customHeight="1">
      <c r="A266" s="14" t="inlineStr">
        <is>
          <t>T-1878B180</t>
        </is>
      </c>
      <c r="B266" s="14" t="inlineStr">
        <is>
          <t>Физическая инфраструктура: коммутаторы, концентраторы, кабельные среды</t>
        </is>
      </c>
      <c r="C266" s="14" t="inlineStr">
        <is>
          <t>ОПКС</t>
        </is>
      </c>
      <c r="D266" s="15" t="inlineStr">
        <is>
          <t>Открыть →</t>
        </is>
      </c>
      <c r="E266" s="6" t="inlineStr"/>
      <c r="F266" s="6" t="inlineStr"/>
    </row>
    <row r="267" ht="48" customHeight="1">
      <c r="A267" s="16" t="inlineStr">
        <is>
          <t>T-9F71AF66</t>
        </is>
      </c>
      <c r="B267" s="16" t="inlineStr">
        <is>
          <t>Цели и задачи SOAR, отличия от SIEM и взаимодействие с ним, роль автоматизации</t>
        </is>
      </c>
      <c r="C267" s="16" t="inlineStr">
        <is>
          <t>ОКБО</t>
        </is>
      </c>
      <c r="D267" s="17" t="inlineStr">
        <is>
          <t>Открыть →</t>
        </is>
      </c>
      <c r="E267" s="6" t="inlineStr"/>
      <c r="F267" s="6" t="inlineStr"/>
    </row>
    <row r="268" ht="48" customHeight="1">
      <c r="A268" s="14" t="inlineStr">
        <is>
          <t>T-A4326792</t>
        </is>
      </c>
      <c r="B268" s="14" t="inlineStr">
        <is>
          <t>Цель и задачи TIP, назначение и функции, интеграция с системами</t>
        </is>
      </c>
      <c r="C268" s="14" t="inlineStr">
        <is>
          <t>ОКБО</t>
        </is>
      </c>
      <c r="D268" s="15" t="inlineStr">
        <is>
          <t>Открыть →</t>
        </is>
      </c>
      <c r="E268" s="6" t="inlineStr"/>
      <c r="F268" s="6" t="inlineStr"/>
    </row>
    <row r="269" ht="48" customHeight="1">
      <c r="A269" s="16" t="inlineStr">
        <is>
          <t>T-A505DFF7</t>
        </is>
      </c>
      <c r="B269" s="16" t="inlineStr">
        <is>
          <t>Цель и задачи XDR, его преимущества</t>
        </is>
      </c>
      <c r="C269" s="16" t="inlineStr">
        <is>
          <t>ОКБО</t>
        </is>
      </c>
      <c r="D269" s="17" t="inlineStr">
        <is>
          <t>Описание не найдено →</t>
        </is>
      </c>
      <c r="E269" s="6" t="inlineStr"/>
      <c r="F269" s="6" t="inlineStr"/>
    </row>
    <row r="270" ht="48" customHeight="1">
      <c r="A270" s="14" t="inlineStr">
        <is>
          <t>T-6DB4AB9E</t>
        </is>
      </c>
      <c r="B270" s="14" t="inlineStr">
        <is>
          <t>Цифровая трансформация как новый этап развития государства и общества</t>
        </is>
      </c>
      <c r="C270" s="14" t="inlineStr">
        <is>
          <t>ЦТГУ</t>
        </is>
      </c>
      <c r="D270" s="15" t="inlineStr">
        <is>
          <t>Открыть →</t>
        </is>
      </c>
      <c r="E270" s="6" t="inlineStr"/>
      <c r="F270" s="6" t="inlineStr"/>
    </row>
    <row r="271" ht="48" customHeight="1">
      <c r="A271" s="16" t="inlineStr">
        <is>
          <t>T-E2E0EC86</t>
        </is>
      </c>
      <c r="B271" s="16" t="inlineStr">
        <is>
          <t>Цифровой суверенитет: импортонезависимость и отечественная цифровая экосистема</t>
        </is>
      </c>
      <c r="C271" s="16" t="inlineStr">
        <is>
          <t>ЦТГУ</t>
        </is>
      </c>
      <c r="D271" s="17" t="inlineStr">
        <is>
          <t>Открыть →</t>
        </is>
      </c>
      <c r="E271" s="6" t="inlineStr"/>
      <c r="F271" s="6" t="inlineStr"/>
    </row>
    <row r="272" ht="48" customHeight="1">
      <c r="A272" s="14" t="inlineStr">
        <is>
          <t>T-93960566</t>
        </is>
      </c>
      <c r="B272" s="14" t="inlineStr">
        <is>
          <t>Эксплуатация активов информационных систем. Администратор кибербезопасности</t>
        </is>
      </c>
      <c r="C272" s="14" t="inlineStr">
        <is>
          <t>ЗИКС</t>
        </is>
      </c>
      <c r="D272" s="15" t="inlineStr">
        <is>
          <t>Открыть →</t>
        </is>
      </c>
      <c r="E272" s="6" t="inlineStr"/>
      <c r="F272" s="6" t="inlineStr"/>
    </row>
    <row r="273" ht="48" customHeight="1">
      <c r="A273" s="16" t="inlineStr">
        <is>
          <t>T-78FBD05D</t>
        </is>
      </c>
      <c r="B273" s="16" t="inlineStr">
        <is>
          <t>Электронная цифровая подпись</t>
        </is>
      </c>
      <c r="C273" s="16" t="inlineStr">
        <is>
          <t>ТК</t>
        </is>
      </c>
      <c r="D273" s="17" t="inlineStr">
        <is>
          <t>Открыть →</t>
        </is>
      </c>
      <c r="E273" s="6" t="inlineStr"/>
      <c r="F273" s="6" t="inlineStr"/>
    </row>
    <row r="274" ht="48" customHeight="1">
      <c r="A274" s="14" t="inlineStr">
        <is>
          <t>T-FDFBBC6A</t>
        </is>
      </c>
      <c r="B274" s="14" t="inlineStr">
        <is>
          <t>Электронные документы и электронная цифровая подпись</t>
        </is>
      </c>
      <c r="C274" s="14" t="inlineStr">
        <is>
          <t>КО</t>
        </is>
      </c>
      <c r="D274" s="15" t="inlineStr">
        <is>
          <t>Открыть →</t>
        </is>
      </c>
      <c r="E274" s="6" t="inlineStr"/>
      <c r="F274" s="6" t="inlineStr"/>
    </row>
    <row r="275" ht="48" customHeight="1">
      <c r="A275" s="16" t="inlineStr">
        <is>
          <t>T-E90F5F72</t>
        </is>
      </c>
      <c r="B275" s="16" t="inlineStr">
        <is>
          <t>Этапы действий ЦКБ: мониторинг, обнаружение, анализ, реагирование, восстановление</t>
        </is>
      </c>
      <c r="C275" s="16" t="inlineStr">
        <is>
          <t>ОКБО</t>
        </is>
      </c>
      <c r="D275" s="17" t="inlineStr">
        <is>
          <t>Открыть →</t>
        </is>
      </c>
      <c r="E275" s="6" t="inlineStr"/>
      <c r="F275" s="6" t="inlineStr"/>
    </row>
    <row r="277" ht="30" customHeight="1">
      <c r="A277" s="3" t="inlineStr">
        <is>
          <t>Сохраните файл «Анкета_Фамилия.xlsx» и отправьте организатору ЛИЧНО. Других ответов преподавателей в этом файле нет.</t>
        </is>
      </c>
      <c r="B277" s="4" t="n"/>
      <c r="C277" s="4" t="n"/>
      <c r="D277" s="4" t="n"/>
      <c r="E277" s="4" t="n"/>
      <c r="F277" s="4" t="n"/>
    </row>
  </sheetData>
  <mergeCells count="9">
    <mergeCell ref="A2:F2"/>
    <mergeCell ref="D7:F7"/>
    <mergeCell ref="B5:D5"/>
    <mergeCell ref="A277:F277"/>
    <mergeCell ref="B4:D4"/>
    <mergeCell ref="A6:F6"/>
    <mergeCell ref="A1:E1"/>
    <mergeCell ref="A3:F3"/>
    <mergeCell ref="A7:C7"/>
  </mergeCells>
  <conditionalFormatting sqref="E10:E275">
    <cfRule type="expression" priority="1" dxfId="4">
      <formula>E10="Да"</formula>
    </cfRule>
  </conditionalFormatting>
  <conditionalFormatting sqref="F10:F275">
    <cfRule type="expression" priority="2" dxfId="5">
      <formula>AND(E10="Частично",F10="")</formula>
    </cfRule>
  </conditionalFormatting>
  <dataValidations count="2">
    <dataValidation sqref="E10:E275" showDropDown="0" showInputMessage="0" showErrorMessage="1" allowBlank="1" errorTitle="Выберите значение из списка" error="Выберите одно из предложенных значений либо очистите ячейку." type="list" errorStyle="stop">
      <formula1>"Да,Частично"</formula1>
    </dataValidation>
    <dataValidation sqref="B5" showDropDown="0" showInputMessage="0" showErrorMessage="1" allowBlank="1" errorTitle="Выберите значение из списка" error="Выберите одно из предложенных значений либо очистите ячейку." type="list" errorStyle="stop">
      <formula1>"В процессе,Выбор завершён"</formula1>
    </dataValidation>
  </dataValidations>
  <hyperlinks>
    <hyperlink ref="A7" location="'Содержание тем'!A1" display="Все содержания →"/>
    <hyperlink ref="D7" location="'Инструкция'!A1" display="Инструкция →"/>
    <hyperlink ref="D10" location="'Содержание тем'!A5" display="Открыть →"/>
    <hyperlink ref="D11" location="'Содержание тем'!A14" display="Открыть →"/>
    <hyperlink ref="D12" location="'Содержание тем'!A23" display="Открыть →"/>
    <hyperlink ref="D13" location="'Содержание тем'!A32" display="Открыть →"/>
    <hyperlink ref="D14" location="'Содержание тем'!A41" display="Открыть →"/>
    <hyperlink ref="D15" location="'Содержание тем'!A50" display="Открыть →"/>
    <hyperlink ref="D16" location="'Содержание тем'!A59" display="Открыть →"/>
    <hyperlink ref="D17" location="'Содержание тем'!A68" display="Открыть →"/>
    <hyperlink ref="D18" location="'Содержание тем'!A77" display="Открыть →"/>
    <hyperlink ref="D19" location="'Содержание тем'!A86" display="Открыть →"/>
    <hyperlink ref="D20" location="'Содержание тем'!A99" display="Открыть →"/>
    <hyperlink ref="D21" location="'Содержание тем'!A108" display="Открыть →"/>
    <hyperlink ref="D22" location="'Содержание тем'!A117" display="Открыть →"/>
    <hyperlink ref="D23" location="'Содержание тем'!A126" display="Открыть →"/>
    <hyperlink ref="D24" location="'Содержание тем'!A135" display="Открыть →"/>
    <hyperlink ref="D25" location="'Содержание тем'!A148" display="Открыть →"/>
    <hyperlink ref="D26" location="'Содержание тем'!A157" display="Открыть →"/>
    <hyperlink ref="D27" location="'Содержание тем'!A167" display="Открыть →"/>
    <hyperlink ref="D28" location="'Содержание тем'!A176" display="Открыть →"/>
    <hyperlink ref="D29" location="'Содержание тем'!A200" display="Открыть →"/>
    <hyperlink ref="D30" location="'Содержание тем'!A215" display="Открыть →"/>
    <hyperlink ref="D31" location="'Содержание тем'!A230" display="Открыть →"/>
    <hyperlink ref="D32" location="'Содержание тем'!A239" display="Открыть →"/>
    <hyperlink ref="D33" location="'Содержание тем'!A252" display="Открыть →"/>
    <hyperlink ref="D34" location="'Содержание тем'!A266" display="Открыть →"/>
    <hyperlink ref="D35" location="'Содержание тем'!A275" display="Открыть →"/>
    <hyperlink ref="D36" location="'Содержание тем'!A291" display="Открыть →"/>
    <hyperlink ref="D37" location="'Содержание тем'!A300" display="Открыть →"/>
    <hyperlink ref="D38" location="'Содержание тем'!A309" display="Открыть →"/>
    <hyperlink ref="D39" location="'Содержание тем'!A320" display="Открыть →"/>
    <hyperlink ref="D40" location="'Содержание тем'!A335" display="Открыть →"/>
    <hyperlink ref="D41" location="'Содержание тем'!A346" display="Открыть →"/>
    <hyperlink ref="D42" location="'Содержание тем'!A355" display="Открыть →"/>
    <hyperlink ref="D43" location="'Содержание тем'!A369" display="Открыть →"/>
    <hyperlink ref="D44" location="'Содержание тем'!A391" display="Открыть →"/>
    <hyperlink ref="D45" location="'Содержание тем'!A404" display="Открыть →"/>
    <hyperlink ref="D46" location="'Содержание тем'!A413" display="Открыть →"/>
    <hyperlink ref="D47" location="'Содержание тем'!A422" display="Открыть →"/>
    <hyperlink ref="D48" location="'Содержание тем'!A431" display="Открыть →"/>
    <hyperlink ref="D49" location="'Содержание тем'!A440" display="Открыть →"/>
    <hyperlink ref="D50" location="'Содержание тем'!A454" display="Открыть →"/>
    <hyperlink ref="D51" location="'Содержание тем'!A485" display="Открыть →"/>
    <hyperlink ref="D52" location="'Содержание тем'!A497" display="Открыть →"/>
    <hyperlink ref="D53" location="'Содержание тем'!A506" display="Открыть →"/>
    <hyperlink ref="D54" location="'Содержание тем'!A521" display="Открыть →"/>
    <hyperlink ref="D55" location="'Содержание тем'!A530" display="Открыть →"/>
    <hyperlink ref="D56" location="'Содержание тем'!A542" display="Открыть →"/>
    <hyperlink ref="D57" location="'Содержание тем'!A551" display="Открыть →"/>
    <hyperlink ref="D58" location="'Содержание тем'!A560" display="Открыть →"/>
    <hyperlink ref="D59" location="'Содержание тем'!A574" display="Открыть →"/>
    <hyperlink ref="D60" location="'Содержание тем'!A696" display="Открыть →"/>
    <hyperlink ref="D61" location="'Содержание тем'!A719" display="Открыть →"/>
    <hyperlink ref="D62" location="'Содержание тем'!A729" display="Открыть →"/>
    <hyperlink ref="D63" location="'Содержание тем'!A743" display="Открыть →"/>
    <hyperlink ref="D64" location="'Содержание тем'!A752" display="Открыть →"/>
    <hyperlink ref="D65" location="'Содержание тем'!A761" display="Открыть →"/>
    <hyperlink ref="D66" location="'Содержание тем'!A770" display="Открыть →"/>
    <hyperlink ref="D67" location="'Содержание тем'!A780" display="Открыть →"/>
    <hyperlink ref="D68" location="'Содержание тем'!A793" display="Открыть →"/>
    <hyperlink ref="D69" location="'Содержание тем'!A808" display="Открыть →"/>
    <hyperlink ref="D70" location="'Содержание тем'!A820" display="Открыть →"/>
    <hyperlink ref="D71" location="'Содержание тем'!A829" display="Открыть →"/>
    <hyperlink ref="D72" location="'Содержание тем'!A843" display="Открыть →"/>
    <hyperlink ref="D73" location="'Содержание тем'!A852" display="Открыть →"/>
    <hyperlink ref="D74" location="'Содержание тем'!A861" display="Открыть →"/>
    <hyperlink ref="D75" location="'Содержание тем'!A870" display="Открыть →"/>
    <hyperlink ref="D76" location="'Содержание тем'!A881" display="Открыть →"/>
    <hyperlink ref="D77" location="'Содержание тем'!A890" display="Открыть →"/>
    <hyperlink ref="D78" location="'Содержание тем'!A899" display="Открыть →"/>
    <hyperlink ref="D79" location="'Содержание тем'!A908" display="Открыть →"/>
    <hyperlink ref="D80" location="'Содержание тем'!A917" display="Открыть →"/>
    <hyperlink ref="D81" location="'Содержание тем'!A929" display="Открыть →"/>
    <hyperlink ref="D82" location="'Содержание тем'!A938" display="Открыть →"/>
    <hyperlink ref="D83" location="'Содержание тем'!A947" display="Открыть →"/>
    <hyperlink ref="D84" location="'Содержание тем'!A962" display="Открыть →"/>
    <hyperlink ref="D85" location="'Содержание тем'!A974" display="Открыть →"/>
    <hyperlink ref="D86" location="'Содержание тем'!A983" display="Открыть →"/>
    <hyperlink ref="D87" location="'Содержание тем'!A996" display="Открыть →"/>
    <hyperlink ref="D88" location="'Содержание тем'!A1005" display="Открыть →"/>
    <hyperlink ref="D89" location="'Содержание тем'!A1014" display="Открыть →"/>
    <hyperlink ref="D90" location="'Содержание тем'!A1023" display="Открыть →"/>
    <hyperlink ref="D91" location="'Содержание тем'!A1032" display="Открыть →"/>
    <hyperlink ref="D92" location="'Содержание тем'!A1041" display="Открыть →"/>
    <hyperlink ref="D93" location="'Содержание тем'!A1052" display="Открыть →"/>
    <hyperlink ref="D94" location="'Содержание тем'!A1061" display="Открыть →"/>
    <hyperlink ref="D95" location="'Содержание тем'!A1124" display="Открыть →"/>
    <hyperlink ref="D96" location="'Содержание тем'!A1134" display="Открыть →"/>
    <hyperlink ref="D97" location="'Содержание тем'!A1157" display="Открыть →"/>
    <hyperlink ref="D98" location="'Содержание тем'!A1169" display="Открыть →"/>
    <hyperlink ref="D99" location="'Содержание тем'!A1180" display="Открыть →"/>
    <hyperlink ref="D100" location="'Содержание тем'!A1189" display="Открыть →"/>
    <hyperlink ref="D101" location="'Содержание тем'!A1198" display="Открыть →"/>
    <hyperlink ref="D102" location="'Содержание тем'!A1207" display="Открыть →"/>
    <hyperlink ref="D103" location="'Содержание тем'!A1216" display="Открыть →"/>
    <hyperlink ref="D104" location="'Содержание тем'!A1225" display="Открыть →"/>
    <hyperlink ref="D105" location="'Содержание тем'!A1234" display="Открыть →"/>
    <hyperlink ref="D106" location="'Содержание тем'!A1246" display="Открыть →"/>
    <hyperlink ref="D107" location="'Содержание тем'!A1255" display="Открыть →"/>
    <hyperlink ref="D108" location="'Содержание тем'!A1264" display="Открыть →"/>
    <hyperlink ref="D109" location="'Содержание тем'!A1273" display="Открыть →"/>
    <hyperlink ref="D110" location="'Содержание тем'!A1282" display="Открыть →"/>
    <hyperlink ref="D111" location="'Содержание тем'!A1291" display="Открыть →"/>
    <hyperlink ref="D112" location="'Содержание тем'!A1306" display="Открыть →"/>
    <hyperlink ref="D113" location="'Содержание тем'!A1315" display="Открыть →"/>
    <hyperlink ref="D114" location="'Содержание тем'!A1324" display="Открыть →"/>
    <hyperlink ref="D115" location="'Содержание тем'!A1333" display="Открыть →"/>
    <hyperlink ref="D116" location="'Содержание тем'!A1342" display="Открыть →"/>
    <hyperlink ref="D117" location="'Содержание тем'!A1351" display="Открыть →"/>
    <hyperlink ref="D118" location="'Содержание тем'!A1395" display="Открыть →"/>
    <hyperlink ref="D119" location="'Содержание тем'!A1412" display="Открыть →"/>
    <hyperlink ref="D120" location="'Содержание тем'!A1421" display="Открыть →"/>
    <hyperlink ref="D121" location="'Содержание тем'!A1432" display="Открыть →"/>
    <hyperlink ref="D122" location="'Содержание тем'!A1442" display="Описание не найдено →"/>
    <hyperlink ref="D123" location="'Содержание тем'!A1451" display="Открыть →"/>
    <hyperlink ref="D124" location="'Содержание тем'!A1464" display="Открыть →"/>
    <hyperlink ref="D125" location="'Содержание тем'!A1473" display="Открыть →"/>
    <hyperlink ref="D126" location="'Содержание тем'!A1484" display="Открыть →"/>
    <hyperlink ref="D127" location="'Содержание тем'!A1495" display="Открыть →"/>
    <hyperlink ref="D128" location="'Содержание тем'!A1504" display="Открыть →"/>
    <hyperlink ref="D129" location="'Содержание тем'!A1575" display="Открыть →"/>
    <hyperlink ref="D130" location="'Содержание тем'!A1584" display="Открыть →"/>
    <hyperlink ref="D131" location="'Содержание тем'!A1593" display="Открыть →"/>
    <hyperlink ref="D132" location="'Содержание тем'!A1603" display="Открыть →"/>
    <hyperlink ref="D133" location="'Содержание тем'!A1612" display="Открыть →"/>
    <hyperlink ref="D134" location="'Содержание тем'!A1630" display="Открыть →"/>
    <hyperlink ref="D135" location="'Содержание тем'!A1639" display="Открыть →"/>
    <hyperlink ref="D136" location="'Содержание тем'!A1672" display="Открыть →"/>
    <hyperlink ref="D137" location="'Содержание тем'!A1681" display="Открыть →"/>
    <hyperlink ref="D138" location="'Содержание тем'!A1690" display="Открыть →"/>
    <hyperlink ref="D139" location="'Содержание тем'!A1699" display="Открыть →"/>
    <hyperlink ref="D140" location="'Содержание тем'!A1712" display="Открыть →"/>
    <hyperlink ref="D141" location="'Содержание тем'!A1721" display="Открыть →"/>
    <hyperlink ref="D142" location="'Содержание тем'!A1730" display="Открыть →"/>
    <hyperlink ref="D143" location="'Содержание тем'!A1744" display="Открыть →"/>
    <hyperlink ref="D144" location="'Содержание тем'!A1758" display="Открыть →"/>
    <hyperlink ref="D145" location="'Содержание тем'!A1771" display="Открыть →"/>
    <hyperlink ref="D146" location="'Содержание тем'!A1784" display="Открыть →"/>
    <hyperlink ref="D147" location="'Содержание тем'!A1799" display="Открыть →"/>
    <hyperlink ref="D148" location="'Содержание тем'!A1808" display="Открыть →"/>
    <hyperlink ref="D149" location="'Содержание тем'!A1820" display="Открыть →"/>
    <hyperlink ref="D150" location="'Содержание тем'!A1829" display="Открыть →"/>
    <hyperlink ref="D151" location="'Содержание тем'!A1848" display="Открыть →"/>
    <hyperlink ref="D152" location="'Содержание тем'!A1867" display="Открыть →"/>
    <hyperlink ref="D153" location="'Содержание тем'!A1882" display="Открыть →"/>
    <hyperlink ref="D154" location="'Содержание тем'!A1891" display="Открыть →"/>
    <hyperlink ref="D155" location="'Содержание тем'!A1900" display="Открыть →"/>
    <hyperlink ref="D156" location="'Содержание тем'!A1911" display="Открыть →"/>
    <hyperlink ref="D157" location="'Содержание тем'!A1924" display="Открыть →"/>
    <hyperlink ref="D158" location="'Содержание тем'!A1935" display="Открыть →"/>
    <hyperlink ref="D159" location="'Содержание тем'!A1944" display="Открыть →"/>
    <hyperlink ref="D160" location="'Содержание тем'!A1954" display="Открыть →"/>
    <hyperlink ref="D161" location="'Содержание тем'!A1963" display="Открыть →"/>
    <hyperlink ref="D162" location="'Содержание тем'!A1972" display="Открыть →"/>
    <hyperlink ref="D163" location="'Содержание тем'!A1984" display="Открыть →"/>
    <hyperlink ref="D164" location="'Содержание тем'!A1994" display="Открыть →"/>
    <hyperlink ref="D165" location="'Содержание тем'!A2003" display="Описание не найдено →"/>
    <hyperlink ref="D166" location="'Содержание тем'!A2012" display="Открыть →"/>
    <hyperlink ref="D167" location="'Содержание тем'!A2025" display="Открыть →"/>
    <hyperlink ref="D168" location="'Содержание тем'!A2034" display="Открыть →"/>
    <hyperlink ref="D169" location="'Содержание тем'!A2043" display="Открыть →"/>
    <hyperlink ref="D170" location="'Содержание тем'!A2052" display="Открыть →"/>
    <hyperlink ref="D171" location="'Содержание тем'!A2064" display="Открыть →"/>
    <hyperlink ref="D172" location="'Содержание тем'!A2073" display="Открыть →"/>
    <hyperlink ref="D173" location="'Содержание тем'!A2086" display="Открыть →"/>
    <hyperlink ref="D174" location="'Содержание тем'!A2096" display="Открыть →"/>
    <hyperlink ref="D175" location="'Содержание тем'!A2106" display="Открыть →"/>
    <hyperlink ref="D176" location="'Содержание тем'!A2115" display="Открыть →"/>
    <hyperlink ref="D177" location="'Содержание тем'!A2127" display="Открыть →"/>
    <hyperlink ref="D178" location="'Содержание тем'!A2136" display="Открыть →"/>
    <hyperlink ref="D179" location="'Содержание тем'!A2148" display="Открыть →"/>
    <hyperlink ref="D180" location="'Содержание тем'!A2157" display="Открыть →"/>
    <hyperlink ref="D181" location="'Содержание тем'!A2170" display="Открыть →"/>
    <hyperlink ref="D182" location="'Содержание тем'!A2179" display="Открыть →"/>
    <hyperlink ref="D183" location="'Содержание тем'!A2188" display="Открыть →"/>
    <hyperlink ref="D184" location="'Содержание тем'!A2197" display="Открыть →"/>
    <hyperlink ref="D185" location="'Содержание тем'!A2207" display="Открыть →"/>
    <hyperlink ref="D186" location="'Содержание тем'!A2222" display="Открыть →"/>
    <hyperlink ref="D187" location="'Содержание тем'!A2231" display="Открыть →"/>
    <hyperlink ref="D188" location="'Содержание тем'!A2247" display="Открыть →"/>
    <hyperlink ref="D189" location="'Содержание тем'!A2256" display="Открыть →"/>
    <hyperlink ref="D190" location="'Содержание тем'!A2272" display="Открыть →"/>
    <hyperlink ref="D191" location="'Содержание тем'!A2281" display="Открыть →"/>
    <hyperlink ref="D192" location="'Содержание тем'!A2290" display="Открыть →"/>
    <hyperlink ref="D193" location="'Содержание тем'!A2299" display="Открыть →"/>
    <hyperlink ref="D194" location="'Содержание тем'!A2308" display="Открыть →"/>
    <hyperlink ref="D195" location="'Содержание тем'!A2317" display="Открыть →"/>
    <hyperlink ref="D196" location="'Содержание тем'!A2326" display="Открыть →"/>
    <hyperlink ref="D197" location="'Содержание тем'!A2335" display="Открыть →"/>
    <hyperlink ref="D198" location="'Содержание тем'!A2349" display="Открыть →"/>
    <hyperlink ref="D199" location="'Содержание тем'!A2362" display="Открыть →"/>
    <hyperlink ref="D200" location="'Содержание тем'!A2371" display="Открыть →"/>
    <hyperlink ref="D201" location="'Содержание тем'!A2382" display="Открыть →"/>
    <hyperlink ref="D202" location="'Содержание тем'!A2394" display="Открыть →"/>
    <hyperlink ref="D203" location="'Содержание тем'!A2407" display="Открыть →"/>
    <hyperlink ref="D204" location="'Содержание тем'!A2419" display="Открыть →"/>
    <hyperlink ref="D205" location="'Содержание тем'!A2430" display="Открыть →"/>
    <hyperlink ref="D206" location="'Содержание тем'!A2456" display="Открыть →"/>
    <hyperlink ref="D207" location="'Содержание тем'!A2472" display="Открыть →"/>
    <hyperlink ref="D208" location="'Содержание тем'!A2481" display="Открыть →"/>
    <hyperlink ref="D209" location="'Содержание тем'!A2490" display="Открыть →"/>
    <hyperlink ref="D210" location="'Содержание тем'!A2499" display="Открыть →"/>
    <hyperlink ref="D211" location="'Содержание тем'!A2512" display="Открыть →"/>
    <hyperlink ref="D212" location="'Содержание тем'!A2523" display="Открыть →"/>
    <hyperlink ref="D213" location="'Содержание тем'!A2535" display="Открыть →"/>
    <hyperlink ref="D214" location="'Содержание тем'!A2550" display="Открыть →"/>
    <hyperlink ref="D215" location="'Содержание тем'!A2559" display="Открыть →"/>
    <hyperlink ref="D216" location="'Содержание тем'!A2568" display="Открыть →"/>
    <hyperlink ref="D217" location="'Содержание тем'!A2577" display="Открыть →"/>
    <hyperlink ref="D218" location="'Содержание тем'!A2586" display="Открыть →"/>
    <hyperlink ref="D219" location="'Содержание тем'!A2595" display="Открыть →"/>
    <hyperlink ref="D220" location="'Содержание тем'!A2623" display="Открыть →"/>
    <hyperlink ref="D221" location="'Содержание тем'!A2637" display="Открыть →"/>
    <hyperlink ref="D222" location="'Содержание тем'!A2646" display="Открыть →"/>
    <hyperlink ref="D223" location="'Содержание тем'!A2655" display="Открыть →"/>
    <hyperlink ref="D224" location="'Содержание тем'!A2665" display="Открыть →"/>
    <hyperlink ref="D225" location="'Содержание тем'!A2674" display="Открыть →"/>
    <hyperlink ref="D226" location="'Содержание тем'!A2683" display="Открыть →"/>
    <hyperlink ref="D227" location="'Содержание тем'!A2692" display="Открыть →"/>
    <hyperlink ref="D228" location="'Содержание тем'!A2707" display="Открыть →"/>
    <hyperlink ref="D229" location="'Содержание тем'!A2716" display="Открыть →"/>
    <hyperlink ref="D230" location="'Содержание тем'!A2725" display="Открыть →"/>
    <hyperlink ref="D231" location="'Содержание тем'!A2734" display="Открыть →"/>
    <hyperlink ref="D232" location="'Содержание тем'!A2763" display="Открыть →"/>
    <hyperlink ref="D233" location="'Содержание тем'!A2794" display="Открыть →"/>
    <hyperlink ref="D234" location="'Содержание тем'!A2803" display="Открыть →"/>
    <hyperlink ref="D235" location="'Содержание тем'!A2812" display="Открыть →"/>
    <hyperlink ref="D236" location="'Содержание тем'!A2825" display="Открыть →"/>
    <hyperlink ref="D237" location="'Содержание тем'!A2837" display="Открыть →"/>
    <hyperlink ref="D238" location="'Содержание тем'!A2846" display="Открыть →"/>
    <hyperlink ref="D239" location="'Содержание тем'!A2857" display="Открыть →"/>
    <hyperlink ref="D240" location="'Содержание тем'!A2866" display="Открыть →"/>
    <hyperlink ref="D241" location="'Содержание тем'!A2875" display="Открыть →"/>
    <hyperlink ref="D242" location="'Содержание тем'!A2884" display="Открыть →"/>
    <hyperlink ref="D243" location="'Содержание тем'!A2893" display="Открыть →"/>
    <hyperlink ref="D244" location="'Содержание тем'!A2903" display="Открыть →"/>
    <hyperlink ref="D245" location="'Содержание тем'!A2912" display="Открыть →"/>
    <hyperlink ref="D246" location="'Содержание тем'!A2922" display="Открыть →"/>
    <hyperlink ref="D247" location="'Содержание тем'!A2964" display="Открыть →"/>
    <hyperlink ref="D248" location="'Содержание тем'!A2993" display="Открыть →"/>
    <hyperlink ref="D249" location="'Содержание тем'!A3005" display="Открыть →"/>
    <hyperlink ref="D250" location="'Содержание тем'!A3028" display="Открыть →"/>
    <hyperlink ref="D251" location="'Содержание тем'!A3151" display="Открыть →"/>
    <hyperlink ref="D252" location="'Содержание тем'!A3160" display="Открыть →"/>
    <hyperlink ref="D253" location="'Содержание тем'!A3169" display="Открыть →"/>
    <hyperlink ref="D254" location="'Содержание тем'!A3216" display="Открыть →"/>
    <hyperlink ref="D255" location="'Содержание тем'!A3225" display="Открыть →"/>
    <hyperlink ref="D256" location="'Содержание тем'!A3243" display="Открыть →"/>
    <hyperlink ref="D257" location="'Содержание тем'!A3269" display="Открыть →"/>
    <hyperlink ref="D258" location="'Содержание тем'!A3278" display="Открыть →"/>
    <hyperlink ref="D259" location="'Содержание тем'!A3297" display="Открыть →"/>
    <hyperlink ref="D260" location="'Содержание тем'!A3310" display="Открыть →"/>
    <hyperlink ref="D261" location="'Содержание тем'!A3319" display="Открыть →"/>
    <hyperlink ref="D262" location="'Содержание тем'!A3328" display="Открыть →"/>
    <hyperlink ref="D263" location="'Содержание тем'!A3337" display="Открыть →"/>
    <hyperlink ref="D264" location="'Содержание тем'!A3346" display="Открыть →"/>
    <hyperlink ref="D265" location="'Содержание тем'!A3355" display="Открыть →"/>
    <hyperlink ref="D266" location="'Содержание тем'!A3369" display="Открыть →"/>
    <hyperlink ref="D267" location="'Содержание тем'!A3378" display="Открыть →"/>
    <hyperlink ref="D268" location="'Содержание тем'!A3387" display="Открыть →"/>
    <hyperlink ref="D269" location="'Содержание тем'!A3396" display="Описание не найдено →"/>
    <hyperlink ref="D270" location="'Содержание тем'!A3405" display="Открыть →"/>
    <hyperlink ref="D271" location="'Содержание тем'!A3415" display="Открыть →"/>
    <hyperlink ref="D272" location="'Содержание тем'!A3424" display="Открыть →"/>
    <hyperlink ref="D273" location="'Содержание тем'!A3437" display="Открыть →"/>
    <hyperlink ref="D274" location="'Содержание тем'!A3446" display="Открыть →"/>
    <hyperlink ref="D275" location="'Содержание тем'!A3455" display="Открыть →"/>
  </hyperlink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0"/>
    <pageSetUpPr fitToPage="1"/>
  </sheetPr>
  <dimension ref="A1:G346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29" customWidth="1" min="2" max="2"/>
    <col width="29" customWidth="1" min="3" max="3"/>
    <col width="29" customWidth="1" min="4" max="4"/>
    <col width="29" customWidth="1" min="5" max="5"/>
    <col width="29" customWidth="1" min="6" max="6"/>
    <col width="31" customWidth="1" min="7" max="7"/>
  </cols>
  <sheetData>
    <row r="1" ht="52" customHeight="1">
      <c r="A1" s="1" t="inlineStr">
        <is>
          <t>СОДЕРЖАНИЕ ТЕМ</t>
        </is>
      </c>
      <c r="B1" s="2" t="n"/>
      <c r="C1" s="2" t="n"/>
      <c r="D1" s="2" t="n"/>
      <c r="E1" s="2" t="n"/>
      <c r="F1" s="2" t="n"/>
    </row>
    <row r="2" ht="29" customHeight="1">
      <c r="A2" s="3" t="inlineStr">
        <is>
          <t>Темы из УТП и программ. Ниже — фактические тексты источников; различающиеся варианты сохранены отдельно.</t>
        </is>
      </c>
      <c r="B2" s="4" t="n"/>
      <c r="C2" s="4" t="n"/>
      <c r="D2" s="4" t="n"/>
      <c r="E2" s="4" t="n"/>
      <c r="F2" s="4" t="n"/>
      <c r="G2" s="4" t="n"/>
    </row>
    <row r="3" ht="26" customHeight="1">
      <c r="A3" s="10" t="inlineStr">
        <is>
          <t>← К перечню тем</t>
        </is>
      </c>
    </row>
    <row r="4" ht="6" customHeight="1">
      <c r="A4" s="11" t="n"/>
      <c r="B4" s="11" t="n"/>
      <c r="C4" s="11" t="n"/>
      <c r="D4" s="11" t="n"/>
      <c r="E4" s="12" t="n"/>
      <c r="F4" s="12" t="n"/>
      <c r="G4" s="12" t="n"/>
    </row>
    <row r="5" ht="38" customHeight="1">
      <c r="A5" s="18" t="inlineStr">
        <is>
          <t>Case Management в SOAR</t>
        </is>
      </c>
      <c r="B5" s="19" t="n"/>
      <c r="C5" s="19" t="n"/>
      <c r="D5" s="19" t="n"/>
      <c r="E5" s="19" t="n"/>
      <c r="F5" s="19" t="n"/>
      <c r="G5" s="19" t="n"/>
    </row>
    <row r="6" ht="26" customHeight="1">
      <c r="A6" s="3" t="inlineStr">
        <is>
          <t>T-69C6C7C7 · Программы: РКИОК</t>
        </is>
      </c>
      <c r="B6" s="4" t="n"/>
      <c r="C6" s="4" t="n"/>
      <c r="D6" s="4" t="n"/>
      <c r="E6" s="4" t="n"/>
      <c r="F6" s="4" t="n"/>
      <c r="G6" s="4" t="n"/>
    </row>
    <row r="7" ht="27" customHeight="1">
      <c r="A7" s="20" t="inlineStr">
        <is>
          <t>Вариант для: РКИОК</t>
        </is>
      </c>
      <c r="B7" s="21" t="n"/>
      <c r="C7" s="21" t="n"/>
      <c r="D7" s="21" t="n"/>
      <c r="E7" s="21" t="n"/>
      <c r="F7" s="21" t="n"/>
      <c r="G7" s="21" t="n"/>
    </row>
    <row r="8" ht="48" customHeight="1">
      <c r="A8" s="22" t="inlineStr">
        <is>
          <t>Систематизация инцидентов: создание дел, назначение ответственных. Отслеживание статусов и результатов через встроенную систему управления делами. Интеграция с внешними сервис-десками и базами знаний.</t>
        </is>
      </c>
      <c r="B8" s="2" t="n"/>
      <c r="C8" s="2" t="n"/>
      <c r="D8" s="2" t="n"/>
      <c r="E8" s="2" t="n"/>
      <c r="F8" s="2" t="n"/>
      <c r="G8" s="2" t="n"/>
    </row>
    <row r="9" ht="51" customHeight="1">
      <c r="A9" s="3" t="inlineStr">
        <is>
          <t>РКИОК — Реагирование на киберинциденты и отражение кибератак
Раздел: Автоматизация обработки инцидентов · УТП: таблица 2, строка 60</t>
        </is>
      </c>
      <c r="B9" s="4" t="n"/>
      <c r="C9" s="4" t="n"/>
      <c r="D9" s="4" t="n"/>
      <c r="E9" s="4" t="n"/>
      <c r="F9" s="4" t="n"/>
      <c r="G9" s="4" t="n"/>
    </row>
    <row r="10" ht="30" customHeight="1">
      <c r="A10" s="3" t="inlineStr">
        <is>
          <t>В программе: Тема 2. Case Management в SOAR (1 час лекции).</t>
        </is>
      </c>
      <c r="B10" s="4" t="n"/>
      <c r="C10" s="4" t="n"/>
      <c r="D10" s="4" t="n"/>
      <c r="E10" s="4" t="n"/>
      <c r="F10" s="4" t="n"/>
      <c r="G10" s="4" t="n"/>
    </row>
    <row r="11" ht="25" customHeight="1">
      <c r="A11" s="23" t="inlineStr">
        <is>
          <t>Исходная программа РКИОК ↗</t>
        </is>
      </c>
      <c r="D11" s="23" t="inlineStr">
        <is>
          <t>Исходный УТП РКИОК ↗</t>
        </is>
      </c>
    </row>
    <row r="12" ht="27" customHeight="1">
      <c r="A12" s="24">
        <f>HYPERLINK("#'Выбор тем'!E"&amp;MATCH("T-69C6C7C7",'Выбор тем'!$A:$A,0),"← Вернуться к теме")</f>
        <v/>
      </c>
    </row>
    <row r="14" ht="38" customHeight="1">
      <c r="A14" s="18" t="inlineStr">
        <is>
          <t>DoS- и DDoS-кибератаки</t>
        </is>
      </c>
      <c r="B14" s="19" t="n"/>
      <c r="C14" s="19" t="n"/>
      <c r="D14" s="19" t="n"/>
      <c r="E14" s="19" t="n"/>
      <c r="F14" s="19" t="n"/>
      <c r="G14" s="19" t="n"/>
    </row>
    <row r="15" ht="26" customHeight="1">
      <c r="A15" s="3" t="inlineStr">
        <is>
          <t>T-22B750DE · Программы: ТК</t>
        </is>
      </c>
      <c r="B15" s="4" t="n"/>
      <c r="C15" s="4" t="n"/>
      <c r="D15" s="4" t="n"/>
      <c r="E15" s="4" t="n"/>
      <c r="F15" s="4" t="n"/>
      <c r="G15" s="4" t="n"/>
    </row>
    <row r="16" ht="27" customHeight="1">
      <c r="A16" s="20" t="inlineStr">
        <is>
          <t>Вариант для: ТК</t>
        </is>
      </c>
      <c r="B16" s="21" t="n"/>
      <c r="C16" s="21" t="n"/>
      <c r="D16" s="21" t="n"/>
      <c r="E16" s="21" t="n"/>
      <c r="F16" s="21" t="n"/>
      <c r="G16" s="21" t="n"/>
    </row>
    <row r="17" ht="48" customHeight="1">
      <c r="A17" s="22" t="inlineStr">
        <is>
          <t>DoS- и DDoS-кибератаки и их отличия. Виды DoS- и DDoS-кибератак. Классификация и цели DDoS-кибератак по уровням OSI. Атаки TCP-, UDP-, HTTP-flood. Способы защиты от DoS- и DDoS-кибератак.</t>
        </is>
      </c>
      <c r="B17" s="2" t="n"/>
      <c r="C17" s="2" t="n"/>
      <c r="D17" s="2" t="n"/>
      <c r="E17" s="2" t="n"/>
      <c r="F17" s="2" t="n"/>
      <c r="G17" s="2" t="n"/>
    </row>
    <row r="18" ht="51" customHeight="1">
      <c r="A18"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14</t>
        </is>
      </c>
      <c r="B18" s="4" t="n"/>
      <c r="C18" s="4" t="n"/>
      <c r="D18" s="4" t="n"/>
      <c r="E18" s="4" t="n"/>
      <c r="F18" s="4" t="n"/>
      <c r="G18" s="4" t="n"/>
    </row>
    <row r="19" ht="30" customHeight="1">
      <c r="A19" s="3" t="inlineStr">
        <is>
          <t>В программе: Тема 2. DoS- и DDoS-кибератаки (2 часа лекции, 2 часа лабораторные занятия).</t>
        </is>
      </c>
      <c r="B19" s="4" t="n"/>
      <c r="C19" s="4" t="n"/>
      <c r="D19" s="4" t="n"/>
      <c r="E19" s="4" t="n"/>
      <c r="F19" s="4" t="n"/>
      <c r="G19" s="4" t="n"/>
    </row>
    <row r="20" ht="25" customHeight="1">
      <c r="A20" s="23" t="inlineStr">
        <is>
          <t>Исходная программа ТК ↗</t>
        </is>
      </c>
      <c r="D20" s="23" t="inlineStr">
        <is>
          <t>Исходный УТП ТК ↗</t>
        </is>
      </c>
    </row>
    <row r="21" ht="27" customHeight="1">
      <c r="A21" s="24">
        <f>HYPERLINK("#'Выбор тем'!E"&amp;MATCH("T-22B750DE",'Выбор тем'!$A:$A,0),"← Вернуться к теме")</f>
        <v/>
      </c>
    </row>
    <row r="23" ht="38" customHeight="1">
      <c r="A23" s="18" t="inlineStr">
        <is>
          <t>Internet of Things (IoT): архитектура, протоколы</t>
        </is>
      </c>
      <c r="B23" s="19" t="n"/>
      <c r="C23" s="19" t="n"/>
      <c r="D23" s="19" t="n"/>
      <c r="E23" s="19" t="n"/>
      <c r="F23" s="19" t="n"/>
      <c r="G23" s="19" t="n"/>
    </row>
    <row r="24" ht="26" customHeight="1">
      <c r="A24" s="3" t="inlineStr">
        <is>
          <t>T-2AF2EE0F · Программы: ОПКС</t>
        </is>
      </c>
      <c r="B24" s="4" t="n"/>
      <c r="C24" s="4" t="n"/>
      <c r="D24" s="4" t="n"/>
      <c r="E24" s="4" t="n"/>
      <c r="F24" s="4" t="n"/>
      <c r="G24" s="4" t="n"/>
    </row>
    <row r="25" ht="27" customHeight="1">
      <c r="A25" s="20" t="inlineStr">
        <is>
          <t>Вариант для: ОПКС</t>
        </is>
      </c>
      <c r="B25" s="21" t="n"/>
      <c r="C25" s="21" t="n"/>
      <c r="D25" s="21" t="n"/>
      <c r="E25" s="21" t="n"/>
      <c r="F25" s="21" t="n"/>
      <c r="G25" s="21" t="n"/>
    </row>
    <row r="26" ht="48" customHeight="1">
      <c r="A26" s="22" t="inlineStr">
        <is>
          <t>Основные функции Internet of Things (IоT). Топология IoT, основные элементы, их функции. Процесс взаимодействия между сенсорными узлами (датчиками). Взаимодействие сервера IoT с приложением пользователя.</t>
        </is>
      </c>
      <c r="B26" s="2" t="n"/>
      <c r="C26" s="2" t="n"/>
      <c r="D26" s="2" t="n"/>
      <c r="E26" s="2" t="n"/>
      <c r="F26" s="2" t="n"/>
      <c r="G26" s="2" t="n"/>
    </row>
    <row r="27" ht="51" customHeight="1">
      <c r="A27"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16</t>
        </is>
      </c>
      <c r="B27" s="4" t="n"/>
      <c r="C27" s="4" t="n"/>
      <c r="D27" s="4" t="n"/>
      <c r="E27" s="4" t="n"/>
      <c r="F27" s="4" t="n"/>
      <c r="G27" s="4" t="n"/>
    </row>
    <row r="28" ht="30" customHeight="1">
      <c r="A28" s="3" t="inlineStr">
        <is>
          <t>В программе: Тема 11. Internet of Things (IoT): архитектура, протоколы (2 часа лекции, 2 часа лабораторные занятия).</t>
        </is>
      </c>
      <c r="B28" s="4" t="n"/>
      <c r="C28" s="4" t="n"/>
      <c r="D28" s="4" t="n"/>
      <c r="E28" s="4" t="n"/>
      <c r="F28" s="4" t="n"/>
      <c r="G28" s="4" t="n"/>
    </row>
    <row r="29" ht="25" customHeight="1">
      <c r="A29" s="23" t="inlineStr">
        <is>
          <t>Исходная программа ОПКС ↗</t>
        </is>
      </c>
      <c r="D29" s="23" t="inlineStr">
        <is>
          <t>Исходный УТП ОПКС ↗</t>
        </is>
      </c>
    </row>
    <row r="30" ht="27" customHeight="1">
      <c r="A30" s="24">
        <f>HYPERLINK("#'Выбор тем'!E"&amp;MATCH("T-2AF2EE0F",'Выбор тем'!$A:$A,0),"← Вернуться к теме")</f>
        <v/>
      </c>
    </row>
    <row r="32" ht="38" customHeight="1">
      <c r="A32" s="18" t="inlineStr">
        <is>
          <t>IP-адресация</t>
        </is>
      </c>
      <c r="B32" s="19" t="n"/>
      <c r="C32" s="19" t="n"/>
      <c r="D32" s="19" t="n"/>
      <c r="E32" s="19" t="n"/>
      <c r="F32" s="19" t="n"/>
      <c r="G32" s="19" t="n"/>
    </row>
    <row r="33" ht="26" customHeight="1">
      <c r="A33" s="3" t="inlineStr">
        <is>
          <t>T-33E76F66 · Программы: ОКМ</t>
        </is>
      </c>
      <c r="B33" s="4" t="n"/>
      <c r="C33" s="4" t="n"/>
      <c r="D33" s="4" t="n"/>
      <c r="E33" s="4" t="n"/>
      <c r="F33" s="4" t="n"/>
      <c r="G33" s="4" t="n"/>
    </row>
    <row r="34" ht="27" customHeight="1">
      <c r="A34" s="20" t="inlineStr">
        <is>
          <t>Вариант для: ОКМ</t>
        </is>
      </c>
      <c r="B34" s="21" t="n"/>
      <c r="C34" s="21" t="n"/>
      <c r="D34" s="21" t="n"/>
      <c r="E34" s="21" t="n"/>
      <c r="F34" s="21" t="n"/>
      <c r="G34" s="21" t="n"/>
    </row>
    <row r="35" ht="80" customHeight="1">
      <c r="A35" s="22" t="inlineStr">
        <is>
          <t>Структура IPv4- и IPv6-адресов. Представления IPv4- и IPv6-адресов в двоичной системе счисления. Определение адреса сети по IPv4-адресу и маске подсети. Определение сетевой и узловой части IPv4-адреса. Типы адресов IPv4- и IPv6-адресов. Отличие частных и публичных IPv4-адресов. Отличие классовой и бесклассовой IP-адресации. Бесклассовая IP-адресация. CIDR, VLSM. Принципы разбиения IPv4- и IPv6-сетей на подсети. Отличительные особенности разбиения на IPv4-сети и IPv6-сети.</t>
        </is>
      </c>
      <c r="B35" s="2" t="n"/>
      <c r="C35" s="2" t="n"/>
      <c r="D35" s="2" t="n"/>
      <c r="E35" s="2" t="n"/>
      <c r="F35" s="2" t="n"/>
      <c r="G35" s="2" t="n"/>
    </row>
    <row r="36" ht="51" customHeight="1">
      <c r="A36" s="3" t="inlineStr">
        <is>
          <t>ОКМ — Основы обеспечения кибербезопасности. маршрутизация. IPv4- и IPv6-адресация
Раздел: Маршрутизация. IPv4 и IPv6 адресация · УТП: таблица 2, строка 15</t>
        </is>
      </c>
      <c r="B36" s="4" t="n"/>
      <c r="C36" s="4" t="n"/>
      <c r="D36" s="4" t="n"/>
      <c r="E36" s="4" t="n"/>
      <c r="F36" s="4" t="n"/>
      <c r="G36" s="4" t="n"/>
    </row>
    <row r="37" ht="30" customHeight="1">
      <c r="A37" s="3" t="inlineStr">
        <is>
          <t>В программе: Тема 1. IP-адресация (2 часа лекции, 2 часа лабораторные занятия).</t>
        </is>
      </c>
      <c r="B37" s="4" t="n"/>
      <c r="C37" s="4" t="n"/>
      <c r="D37" s="4" t="n"/>
      <c r="E37" s="4" t="n"/>
      <c r="F37" s="4" t="n"/>
      <c r="G37" s="4" t="n"/>
    </row>
    <row r="38" ht="25" customHeight="1">
      <c r="A38" s="23" t="inlineStr">
        <is>
          <t>Исходная программа ОКМ ↗</t>
        </is>
      </c>
      <c r="D38" s="23" t="inlineStr">
        <is>
          <t>Исходный УТП ОКМ ↗</t>
        </is>
      </c>
    </row>
    <row r="39" ht="27" customHeight="1">
      <c r="A39" s="24">
        <f>HYPERLINK("#'Выбор тем'!E"&amp;MATCH("T-33E76F66",'Выбор тем'!$A:$A,0),"← Вернуться к теме")</f>
        <v/>
      </c>
    </row>
    <row r="41" ht="38" customHeight="1">
      <c r="A41" s="18" t="inlineStr">
        <is>
          <t>OSINT-инструменты</t>
        </is>
      </c>
      <c r="B41" s="19" t="n"/>
      <c r="C41" s="19" t="n"/>
      <c r="D41" s="19" t="n"/>
      <c r="E41" s="19" t="n"/>
      <c r="F41" s="19" t="n"/>
      <c r="G41" s="19" t="n"/>
    </row>
    <row r="42" ht="26" customHeight="1">
      <c r="A42" s="3" t="inlineStr">
        <is>
          <t>T-9917B01E · Программы: РКИОК</t>
        </is>
      </c>
      <c r="B42" s="4" t="n"/>
      <c r="C42" s="4" t="n"/>
      <c r="D42" s="4" t="n"/>
      <c r="E42" s="4" t="n"/>
      <c r="F42" s="4" t="n"/>
      <c r="G42" s="4" t="n"/>
    </row>
    <row r="43" ht="27" customHeight="1">
      <c r="A43" s="20" t="inlineStr">
        <is>
          <t>Вариант для: РКИОК</t>
        </is>
      </c>
      <c r="B43" s="21" t="n"/>
      <c r="C43" s="21" t="n"/>
      <c r="D43" s="21" t="n"/>
      <c r="E43" s="21" t="n"/>
      <c r="F43" s="21" t="n"/>
      <c r="G43" s="21" t="n"/>
    </row>
    <row r="44" ht="48" customHeight="1">
      <c r="A44" s="22" t="inlineStr">
        <is>
          <t>Понятие OSINT, его место в расследовании киберинцидентов. Типы источников данных. Основные категории OSINT-инструментов. Примеры использования OSINT при анализе инцидентов.</t>
        </is>
      </c>
      <c r="B44" s="2" t="n"/>
      <c r="C44" s="2" t="n"/>
      <c r="D44" s="2" t="n"/>
      <c r="E44" s="2" t="n"/>
      <c r="F44" s="2" t="n"/>
      <c r="G44" s="2" t="n"/>
    </row>
    <row r="45" ht="51" customHeight="1">
      <c r="A45" s="3" t="inlineStr">
        <is>
          <t>РКИОК — Реагирование на киберинциденты и отражение кибератак
Раздел: Введение в киберкриминалистику · УТП: таблица 2, строка 25</t>
        </is>
      </c>
      <c r="B45" s="4" t="n"/>
      <c r="C45" s="4" t="n"/>
      <c r="D45" s="4" t="n"/>
      <c r="E45" s="4" t="n"/>
      <c r="F45" s="4" t="n"/>
      <c r="G45" s="4" t="n"/>
    </row>
    <row r="46" ht="30" customHeight="1">
      <c r="A46" s="3" t="inlineStr">
        <is>
          <t>В программе: Тема 5. OSINT-инструменты (1 час лекции).</t>
        </is>
      </c>
      <c r="B46" s="4" t="n"/>
      <c r="C46" s="4" t="n"/>
      <c r="D46" s="4" t="n"/>
      <c r="E46" s="4" t="n"/>
      <c r="F46" s="4" t="n"/>
      <c r="G46" s="4" t="n"/>
    </row>
    <row r="47" ht="25" customHeight="1">
      <c r="A47" s="23" t="inlineStr">
        <is>
          <t>Исходная программа РКИОК ↗</t>
        </is>
      </c>
      <c r="D47" s="23" t="inlineStr">
        <is>
          <t>Исходный УТП РКИОК ↗</t>
        </is>
      </c>
    </row>
    <row r="48" ht="27" customHeight="1">
      <c r="A48" s="24">
        <f>HYPERLINK("#'Выбор тем'!E"&amp;MATCH("T-9917B01E",'Выбор тем'!$A:$A,0),"← Вернуться к теме")</f>
        <v/>
      </c>
    </row>
    <row r="50" ht="38" customHeight="1">
      <c r="A50" s="18" t="inlineStr">
        <is>
          <t>SIEM: назначение, архитектура, нормализация и корреляция событий на базе Ntechnology SIEM</t>
        </is>
      </c>
      <c r="B50" s="19" t="n"/>
      <c r="C50" s="19" t="n"/>
      <c r="D50" s="19" t="n"/>
      <c r="E50" s="19" t="n"/>
      <c r="F50" s="19" t="n"/>
      <c r="G50" s="19" t="n"/>
    </row>
    <row r="51" ht="26" customHeight="1">
      <c r="A51" s="3" t="inlineStr">
        <is>
          <t>T-B82746ED · Программы: РКИОК</t>
        </is>
      </c>
      <c r="B51" s="4" t="n"/>
      <c r="C51" s="4" t="n"/>
      <c r="D51" s="4" t="n"/>
      <c r="E51" s="4" t="n"/>
      <c r="F51" s="4" t="n"/>
      <c r="G51" s="4" t="n"/>
    </row>
    <row r="52" ht="27" customHeight="1">
      <c r="A52" s="20" t="inlineStr">
        <is>
          <t>Вариант для: РКИОК</t>
        </is>
      </c>
      <c r="B52" s="21" t="n"/>
      <c r="C52" s="21" t="n"/>
      <c r="D52" s="21" t="n"/>
      <c r="E52" s="21" t="n"/>
      <c r="F52" s="21" t="n"/>
      <c r="G52" s="21" t="n"/>
    </row>
    <row r="53" ht="48" customHeight="1">
      <c r="A53" s="22" t="inlineStr">
        <is>
          <t>Назначение SIEM в ЦКБ: сбор, хранение и анализ логов. Архитектура Ntechnology SIEM: источники, процессы нормализации. Принципы создания правил корреляции для выявления комплексных атак.</t>
        </is>
      </c>
      <c r="B53" s="2" t="n"/>
      <c r="C53" s="2" t="n"/>
      <c r="D53" s="2" t="n"/>
      <c r="E53" s="2" t="n"/>
      <c r="F53" s="2" t="n"/>
      <c r="G53" s="2" t="n"/>
    </row>
    <row r="54" ht="51" customHeight="1">
      <c r="A54" s="3" t="inlineStr">
        <is>
          <t>РКИОК — Реагирование на киберинциденты и отражение кибератак
Раздел: Сбор данных и предотвращение атак · УТП: таблица 2, строка 18</t>
        </is>
      </c>
      <c r="B54" s="4" t="n"/>
      <c r="C54" s="4" t="n"/>
      <c r="D54" s="4" t="n"/>
      <c r="E54" s="4" t="n"/>
      <c r="F54" s="4" t="n"/>
      <c r="G54" s="4" t="n"/>
    </row>
    <row r="55" ht="30" customHeight="1">
      <c r="A55" s="3" t="inlineStr">
        <is>
          <t>В программе: Тема 4. SIEM: назначение, архитектура, нормализация и корреляция событий на базе Ntechnology SIEM (1 час лекции).</t>
        </is>
      </c>
      <c r="B55" s="4" t="n"/>
      <c r="C55" s="4" t="n"/>
      <c r="D55" s="4" t="n"/>
      <c r="E55" s="4" t="n"/>
      <c r="F55" s="4" t="n"/>
      <c r="G55" s="4" t="n"/>
    </row>
    <row r="56" ht="25" customHeight="1">
      <c r="A56" s="23" t="inlineStr">
        <is>
          <t>Исходная программа РКИОК ↗</t>
        </is>
      </c>
      <c r="D56" s="23" t="inlineStr">
        <is>
          <t>Исходный УТП РКИОК ↗</t>
        </is>
      </c>
    </row>
    <row r="57" ht="27" customHeight="1">
      <c r="A57" s="24">
        <f>HYPERLINK("#'Выбор тем'!E"&amp;MATCH("T-B82746ED",'Выбор тем'!$A:$A,0),"← Вернуться к теме")</f>
        <v/>
      </c>
    </row>
    <row r="59" ht="48" customHeight="1">
      <c r="A59" s="18" t="inlineStr">
        <is>
          <t>SIEM-системы. Краткий обзор существующих решений. Сертифицированные open-source и коммерческие решения в Республике Беларусь</t>
        </is>
      </c>
      <c r="B59" s="19" t="n"/>
      <c r="C59" s="19" t="n"/>
      <c r="D59" s="19" t="n"/>
      <c r="E59" s="19" t="n"/>
      <c r="F59" s="19" t="n"/>
      <c r="G59" s="19" t="n"/>
    </row>
    <row r="60" ht="26" customHeight="1">
      <c r="A60" s="3" t="inlineStr">
        <is>
          <t>T-BF0DCE22 · Программы: ОКБО</t>
        </is>
      </c>
      <c r="B60" s="4" t="n"/>
      <c r="C60" s="4" t="n"/>
      <c r="D60" s="4" t="n"/>
      <c r="E60" s="4" t="n"/>
      <c r="F60" s="4" t="n"/>
      <c r="G60" s="4" t="n"/>
    </row>
    <row r="61" ht="27" customHeight="1">
      <c r="A61" s="20" t="inlineStr">
        <is>
          <t>Вариант для: ОКБО</t>
        </is>
      </c>
      <c r="B61" s="21" t="n"/>
      <c r="C61" s="21" t="n"/>
      <c r="D61" s="21" t="n"/>
      <c r="E61" s="21" t="n"/>
      <c r="F61" s="21" t="n"/>
      <c r="G61" s="21" t="n"/>
    </row>
    <row r="62" ht="64" customHeight="1">
      <c r="A62" s="22" t="inlineStr">
        <is>
          <t>Определение и основные компоненты SIEM-систем. Понятия и основные процессы, происходящие в SIEM-системах (идентификация источников, сбор, корреляция, агрегация, хранение и контроль защищенности). Рассмотрение примеров источников событий информационной безопасности и протоколов событий. Рассмотрение принципа работы SIEM-системы. Сравнительный анализ существующих решений в Республике Беларусь.</t>
        </is>
      </c>
      <c r="B62" s="2" t="n"/>
      <c r="C62" s="2" t="n"/>
      <c r="D62" s="2" t="n"/>
      <c r="E62" s="2" t="n"/>
      <c r="F62" s="2" t="n"/>
      <c r="G62" s="2" t="n"/>
    </row>
    <row r="63" ht="51" customHeight="1">
      <c r="A63"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28</t>
        </is>
      </c>
      <c r="B63" s="4" t="n"/>
      <c r="C63" s="4" t="n"/>
      <c r="D63" s="4" t="n"/>
      <c r="E63" s="4" t="n"/>
      <c r="F63" s="4" t="n"/>
      <c r="G63" s="4" t="n"/>
    </row>
    <row r="64" ht="30" customHeight="1">
      <c r="A64" s="3" t="inlineStr">
        <is>
          <t>В программе: Тема 1. SIEM-системы. Краткий обзор существующих решений. Сертифицированные open-source и коммерческие решения в Республике Беларусь (2 часа лекции).</t>
        </is>
      </c>
      <c r="B64" s="4" t="n"/>
      <c r="C64" s="4" t="n"/>
      <c r="D64" s="4" t="n"/>
      <c r="E64" s="4" t="n"/>
      <c r="F64" s="4" t="n"/>
      <c r="G64" s="4" t="n"/>
    </row>
    <row r="65" ht="25" customHeight="1">
      <c r="A65" s="23" t="inlineStr">
        <is>
          <t>Исходная программа ОКБО ↗</t>
        </is>
      </c>
      <c r="D65" s="23" t="inlineStr">
        <is>
          <t>Исходный УТП ОКБО ↗</t>
        </is>
      </c>
    </row>
    <row r="66" ht="27" customHeight="1">
      <c r="A66" s="24">
        <f>HYPERLINK("#'Выбор тем'!E"&amp;MATCH("T-BF0DCE22",'Выбор тем'!$A:$A,0),"← Вернуться к теме")</f>
        <v/>
      </c>
    </row>
    <row r="68" ht="38" customHeight="1">
      <c r="A68" s="18" t="inlineStr">
        <is>
          <t>Suricata – установка, настройка, правила. Написание правил нормализации для Ntechnology SIEM (NTECH SIEM)</t>
        </is>
      </c>
      <c r="B68" s="19" t="n"/>
      <c r="C68" s="19" t="n"/>
      <c r="D68" s="19" t="n"/>
      <c r="E68" s="19" t="n"/>
      <c r="F68" s="19" t="n"/>
      <c r="G68" s="19" t="n"/>
    </row>
    <row r="69" ht="26" customHeight="1">
      <c r="A69" s="3" t="inlineStr">
        <is>
          <t>T-2D7EF13A · Программы: РКИОК</t>
        </is>
      </c>
      <c r="B69" s="4" t="n"/>
      <c r="C69" s="4" t="n"/>
      <c r="D69" s="4" t="n"/>
      <c r="E69" s="4" t="n"/>
      <c r="F69" s="4" t="n"/>
      <c r="G69" s="4" t="n"/>
    </row>
    <row r="70" ht="27" customHeight="1">
      <c r="A70" s="20" t="inlineStr">
        <is>
          <t>Вариант для: РКИОК</t>
        </is>
      </c>
      <c r="B70" s="21" t="n"/>
      <c r="C70" s="21" t="n"/>
      <c r="D70" s="21" t="n"/>
      <c r="E70" s="21" t="n"/>
      <c r="F70" s="21" t="n"/>
      <c r="G70" s="21" t="n"/>
    </row>
    <row r="71" ht="48" customHeight="1">
      <c r="A71" s="22" t="inlineStr">
        <is>
          <t>Установка базового стенда. Запуск SIEM-системы. Развёртывание и конфигурирование Suricata в тестовой среде. Создание и тестирование собственных сигнатур для обнаружения атак. Разработка правил нормализации в Ntechnology SIEM для унификации событий.</t>
        </is>
      </c>
      <c r="B71" s="2" t="n"/>
      <c r="C71" s="2" t="n"/>
      <c r="D71" s="2" t="n"/>
      <c r="E71" s="2" t="n"/>
      <c r="F71" s="2" t="n"/>
      <c r="G71" s="2" t="n"/>
    </row>
    <row r="72" ht="51" customHeight="1">
      <c r="A72" s="3" t="inlineStr">
        <is>
          <t>РКИОК — Реагирование на киберинциденты и отражение кибератак
Раздел: Сбор данных и предотвращение атак · УТП: таблица 2, строка 19</t>
        </is>
      </c>
      <c r="B72" s="4" t="n"/>
      <c r="C72" s="4" t="n"/>
      <c r="D72" s="4" t="n"/>
      <c r="E72" s="4" t="n"/>
      <c r="F72" s="4" t="n"/>
      <c r="G72" s="4" t="n"/>
    </row>
    <row r="73" ht="30" customHeight="1">
      <c r="A73" s="3" t="inlineStr">
        <is>
          <t>В программе: Тема 5. Suricata – установка, настройка, правила. Написание правил нормализации для Ntechnology SIEM (NTECH SIEM) (3 часа практические занятия).</t>
        </is>
      </c>
      <c r="B73" s="4" t="n"/>
      <c r="C73" s="4" t="n"/>
      <c r="D73" s="4" t="n"/>
      <c r="E73" s="4" t="n"/>
      <c r="F73" s="4" t="n"/>
      <c r="G73" s="4" t="n"/>
    </row>
    <row r="74" ht="25" customHeight="1">
      <c r="A74" s="23" t="inlineStr">
        <is>
          <t>Исходная программа РКИОК ↗</t>
        </is>
      </c>
      <c r="D74" s="23" t="inlineStr">
        <is>
          <t>Исходный УТП РКИОК ↗</t>
        </is>
      </c>
    </row>
    <row r="75" ht="27" customHeight="1">
      <c r="A75" s="24">
        <f>HYPERLINK("#'Выбор тем'!E"&amp;MATCH("T-2D7EF13A",'Выбор тем'!$A:$A,0),"← Вернуться к теме")</f>
        <v/>
      </c>
    </row>
    <row r="77" ht="38" customHeight="1">
      <c r="A77" s="18" t="inlineStr">
        <is>
          <t>Автоматизация и цифровизация административных процедур</t>
        </is>
      </c>
      <c r="B77" s="19" t="n"/>
      <c r="C77" s="19" t="n"/>
      <c r="D77" s="19" t="n"/>
      <c r="E77" s="19" t="n"/>
      <c r="F77" s="19" t="n"/>
      <c r="G77" s="19" t="n"/>
    </row>
    <row r="78" ht="26" customHeight="1">
      <c r="A78" s="3" t="inlineStr">
        <is>
          <t>T-18B4A131 · Программы: ЦТГУ</t>
        </is>
      </c>
      <c r="B78" s="4" t="n"/>
      <c r="C78" s="4" t="n"/>
      <c r="D78" s="4" t="n"/>
      <c r="E78" s="4" t="n"/>
      <c r="F78" s="4" t="n"/>
      <c r="G78" s="4" t="n"/>
    </row>
    <row r="79" ht="27" customHeight="1">
      <c r="A79" s="20" t="inlineStr">
        <is>
          <t>Вариант для: ЦТГУ</t>
        </is>
      </c>
      <c r="B79" s="21" t="n"/>
      <c r="C79" s="21" t="n"/>
      <c r="D79" s="21" t="n"/>
      <c r="E79" s="21" t="n"/>
      <c r="F79" s="21" t="n"/>
      <c r="G79" s="21" t="n"/>
    </row>
    <row r="80" ht="48" customHeight="1">
      <c r="A80" s="22" t="inlineStr">
        <is>
          <t>Переход от регламента к цифровому процессу. Требования к данным и интеграциям (включая использование цифровых образов документов). Минимизация ручных операций; обеспечение прослеживаемости. Роль реестра административных процедур и конструктора электронных сервисов.</t>
        </is>
      </c>
      <c r="B80" s="2" t="n"/>
      <c r="C80" s="2" t="n"/>
      <c r="D80" s="2" t="n"/>
      <c r="E80" s="2" t="n"/>
      <c r="F80" s="2" t="n"/>
      <c r="G80" s="2" t="n"/>
    </row>
    <row r="81" ht="51" customHeight="1">
      <c r="A81" s="3" t="inlineStr">
        <is>
          <t>ЦТГУ — Цифровая трансформация государственного управления
Раздел: Нулевая бюрократия и клиентоцентричность · УТП: таблица 2, строка 14</t>
        </is>
      </c>
      <c r="B81" s="4" t="n"/>
      <c r="C81" s="4" t="n"/>
      <c r="D81" s="4" t="n"/>
      <c r="E81" s="4" t="n"/>
      <c r="F81" s="4" t="n"/>
      <c r="G81" s="4" t="n"/>
    </row>
    <row r="82" ht="30" customHeight="1">
      <c r="A82" s="3" t="inlineStr">
        <is>
          <t>В программе: Тема 3. Автоматизация и цифровизация административных процедур (2 часа лекции).</t>
        </is>
      </c>
      <c r="B82" s="4" t="n"/>
      <c r="C82" s="4" t="n"/>
      <c r="D82" s="4" t="n"/>
      <c r="E82" s="4" t="n"/>
      <c r="F82" s="4" t="n"/>
      <c r="G82" s="4" t="n"/>
    </row>
    <row r="83" ht="25" customHeight="1">
      <c r="A83" s="23" t="inlineStr">
        <is>
          <t>Исходная программа ЦТГУ ↗</t>
        </is>
      </c>
      <c r="D83" s="23" t="inlineStr">
        <is>
          <t>Исходный УТП ЦТГУ ↗</t>
        </is>
      </c>
    </row>
    <row r="84" ht="27" customHeight="1">
      <c r="A84" s="24">
        <f>HYPERLINK("#'Выбор тем'!E"&amp;MATCH("T-18B4A131",'Выбор тем'!$A:$A,0),"← Вернуться к теме")</f>
        <v/>
      </c>
    </row>
    <row r="86" ht="38" customHeight="1">
      <c r="A86" s="18" t="inlineStr">
        <is>
          <t>Автоматизация процессов обеспечения кибербезопасности с использованием систем класса SGRC</t>
        </is>
      </c>
      <c r="B86" s="19" t="n"/>
      <c r="C86" s="19" t="n"/>
      <c r="D86" s="19" t="n"/>
      <c r="E86" s="19" t="n"/>
      <c r="F86" s="19" t="n"/>
      <c r="G86" s="19" t="n"/>
    </row>
    <row r="87" ht="26" customHeight="1">
      <c r="A87" s="3" t="inlineStr">
        <is>
          <t>T-2C3B1F04 · Программы: ККС</t>
        </is>
      </c>
      <c r="B87" s="4" t="n"/>
      <c r="C87" s="4" t="n"/>
      <c r="D87" s="4" t="n"/>
      <c r="E87" s="4" t="n"/>
      <c r="F87" s="4" t="n"/>
      <c r="G87" s="4" t="n"/>
    </row>
    <row r="88" ht="27" customHeight="1">
      <c r="A88" s="20" t="inlineStr">
        <is>
          <t>Вариант для: ККС</t>
        </is>
      </c>
      <c r="B88" s="21" t="n"/>
      <c r="C88" s="21" t="n"/>
      <c r="D88" s="21" t="n"/>
      <c r="E88" s="21" t="n"/>
      <c r="F88" s="21" t="n"/>
      <c r="G88" s="21" t="n"/>
    </row>
    <row r="89" ht="32" customHeight="1">
      <c r="A89" s="22" t="inlineStr">
        <is>
          <t>Автоматизация процессов с использованием систем класса SGRC.</t>
        </is>
      </c>
      <c r="B89" s="2" t="n"/>
      <c r="C89" s="2" t="n"/>
      <c r="D89" s="2" t="n"/>
      <c r="E89" s="2" t="n"/>
      <c r="F89" s="2" t="n"/>
      <c r="G89" s="2" t="n"/>
    </row>
    <row r="90" ht="32" customHeight="1">
      <c r="A90" s="22" t="inlineStr">
        <is>
          <t>Демонстрация возможностей систем класса SGRC (Security, Governance, Risk, Compliance) в части:</t>
        </is>
      </c>
      <c r="B90" s="2" t="n"/>
      <c r="C90" s="2" t="n"/>
      <c r="D90" s="2" t="n"/>
      <c r="E90" s="2" t="n"/>
      <c r="F90" s="2" t="n"/>
      <c r="G90" s="2" t="n"/>
    </row>
    <row r="91" ht="48" customHeight="1">
      <c r="A91" s="22" t="inlineStr">
        <is>
          <t>автоматизации процесса инвентаризации и управления активами – идентификация всех активов, прорисовка связей между активами, определение ценности активов, составление реестра активов,</t>
        </is>
      </c>
      <c r="B91" s="2" t="n"/>
      <c r="C91" s="2" t="n"/>
      <c r="D91" s="2" t="n"/>
      <c r="E91" s="2" t="n"/>
      <c r="F91" s="2" t="n"/>
      <c r="G91" s="2" t="n"/>
    </row>
    <row r="92" ht="32" customHeight="1">
      <c r="A92" s="22" t="inlineStr">
        <is>
          <t>автоматизации процесса проведения аудитов кибербезопасности;</t>
        </is>
      </c>
      <c r="B92" s="2" t="n"/>
      <c r="C92" s="2" t="n"/>
      <c r="D92" s="2" t="n"/>
      <c r="E92" s="2" t="n"/>
      <c r="F92" s="2" t="n"/>
      <c r="G92" s="2" t="n"/>
    </row>
    <row r="93" ht="32" customHeight="1">
      <c r="A93" s="22" t="inlineStr">
        <is>
          <t>автоматизации процесса оценки рисков активов объектов информационной инфраструктуры.</t>
        </is>
      </c>
      <c r="B93" s="2" t="n"/>
      <c r="C93" s="2" t="n"/>
      <c r="D93" s="2" t="n"/>
      <c r="E93" s="2" t="n"/>
      <c r="F93" s="2" t="n"/>
      <c r="G93" s="2" t="n"/>
    </row>
    <row r="94" ht="51" customHeight="1">
      <c r="A94" s="3" t="inlineStr">
        <is>
          <t>ККС — Кибербезопасность корпоративных систем
Раздел: Технические меры по обеспечению кибербезопасности · УТП: таблица 2, строка 23</t>
        </is>
      </c>
      <c r="B94" s="4" t="n"/>
      <c r="C94" s="4" t="n"/>
      <c r="D94" s="4" t="n"/>
      <c r="E94" s="4" t="n"/>
      <c r="F94" s="4" t="n"/>
      <c r="G94" s="4" t="n"/>
    </row>
    <row r="95" ht="30" customHeight="1">
      <c r="A95" s="3" t="inlineStr">
        <is>
          <t>В программе: Тема 9. Автоматизация процессов обеспечения кибербезопасности с использованием систем класса SGRC (4 часа практические занятия).</t>
        </is>
      </c>
      <c r="B95" s="4" t="n"/>
      <c r="C95" s="4" t="n"/>
      <c r="D95" s="4" t="n"/>
      <c r="E95" s="4" t="n"/>
      <c r="F95" s="4" t="n"/>
      <c r="G95" s="4" t="n"/>
    </row>
    <row r="96" ht="25" customHeight="1">
      <c r="A96" s="23" t="inlineStr">
        <is>
          <t>Исходная программа ККС ↗</t>
        </is>
      </c>
      <c r="D96" s="23" t="inlineStr">
        <is>
          <t>Исходный УТП ККС ↗</t>
        </is>
      </c>
    </row>
    <row r="97" ht="27" customHeight="1">
      <c r="A97" s="24">
        <f>HYPERLINK("#'Выбор тем'!E"&amp;MATCH("T-2C3B1F04",'Выбор тем'!$A:$A,0),"← Вернуться к теме")</f>
        <v/>
      </c>
    </row>
    <row r="99" ht="38" customHeight="1">
      <c r="A99" s="18" t="inlineStr">
        <is>
          <t>Агрегация каналов и отказоустойчивость: STP, LACP, балансировка</t>
        </is>
      </c>
      <c r="B99" s="19" t="n"/>
      <c r="C99" s="19" t="n"/>
      <c r="D99" s="19" t="n"/>
      <c r="E99" s="19" t="n"/>
      <c r="F99" s="19" t="n"/>
      <c r="G99" s="19" t="n"/>
    </row>
    <row r="100" ht="26" customHeight="1">
      <c r="A100" s="3" t="inlineStr">
        <is>
          <t>T-E7C04975 · Программы: ОПКС</t>
        </is>
      </c>
      <c r="B100" s="4" t="n"/>
      <c r="C100" s="4" t="n"/>
      <c r="D100" s="4" t="n"/>
      <c r="E100" s="4" t="n"/>
      <c r="F100" s="4" t="n"/>
      <c r="G100" s="4" t="n"/>
    </row>
    <row r="101" ht="27" customHeight="1">
      <c r="A101" s="20" t="inlineStr">
        <is>
          <t>Вариант для: ОПКС</t>
        </is>
      </c>
      <c r="B101" s="21" t="n"/>
      <c r="C101" s="21" t="n"/>
      <c r="D101" s="21" t="n"/>
      <c r="E101" s="21" t="n"/>
      <c r="F101" s="21" t="n"/>
      <c r="G101" s="21" t="n"/>
    </row>
    <row r="102" ht="96" customHeight="1">
      <c r="A102" s="22" t="inlineStr">
        <is>
          <t>Назначение агрегирования каналов. Технологии и методы агрегации каналов, отличительные особенности. Петля коммутации, причины образования. Назначение протокола STP. Механизм работы STP протокола. Типы и содержание информации, которой обмениваются коммутаторы. Формат данных BPDU-кадра. Определение корневого коммутатора в автоматическом режиме работы протокола STP. Состояние и роли портов коммутатора. Отличие протоколов STP, PVST, PVST+, RSTP. Протокол LACP, механизм настройки и принцип работы. Отличительные особенности работы LACP и PAgP. Настройка протокола PAgP, особенности работы. Методы балансировки нагрузки, их настройка.</t>
        </is>
      </c>
      <c r="B102" s="2" t="n"/>
      <c r="C102" s="2" t="n"/>
      <c r="D102" s="2" t="n"/>
      <c r="E102" s="2" t="n"/>
      <c r="F102" s="2" t="n"/>
      <c r="G102" s="2" t="n"/>
    </row>
    <row r="103" ht="51" customHeight="1">
      <c r="A103"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10</t>
        </is>
      </c>
      <c r="B103" s="4" t="n"/>
      <c r="C103" s="4" t="n"/>
      <c r="D103" s="4" t="n"/>
      <c r="E103" s="4" t="n"/>
      <c r="F103" s="4" t="n"/>
      <c r="G103" s="4" t="n"/>
    </row>
    <row r="104" ht="30" customHeight="1">
      <c r="A104" s="3" t="inlineStr">
        <is>
          <t>В программе: Тема 5. Агрегация каналов и отказоустойчивость: STP, LACP, балансировка (2 часа лекции, 2 часа лабораторные занятия).</t>
        </is>
      </c>
      <c r="B104" s="4" t="n"/>
      <c r="C104" s="4" t="n"/>
      <c r="D104" s="4" t="n"/>
      <c r="E104" s="4" t="n"/>
      <c r="F104" s="4" t="n"/>
      <c r="G104" s="4" t="n"/>
    </row>
    <row r="105" ht="25" customHeight="1">
      <c r="A105" s="23" t="inlineStr">
        <is>
          <t>Исходная программа ОПКС ↗</t>
        </is>
      </c>
      <c r="D105" s="23" t="inlineStr">
        <is>
          <t>Исходный УТП ОПКС ↗</t>
        </is>
      </c>
    </row>
    <row r="106" ht="27" customHeight="1">
      <c r="A106" s="24">
        <f>HYPERLINK("#'Выбор тем'!E"&amp;MATCH("T-E7C04975",'Выбор тем'!$A:$A,0),"← Вернуться к теме")</f>
        <v/>
      </c>
    </row>
    <row r="108" ht="38" customHeight="1">
      <c r="A108" s="18" t="inlineStr">
        <is>
          <t>Агрегация маршрутов</t>
        </is>
      </c>
      <c r="B108" s="19" t="n"/>
      <c r="C108" s="19" t="n"/>
      <c r="D108" s="19" t="n"/>
      <c r="E108" s="19" t="n"/>
      <c r="F108" s="19" t="n"/>
      <c r="G108" s="19" t="n"/>
    </row>
    <row r="109" ht="26" customHeight="1">
      <c r="A109" s="3" t="inlineStr">
        <is>
          <t>T-DA2CB29B · Программы: ОКМ</t>
        </is>
      </c>
      <c r="B109" s="4" t="n"/>
      <c r="C109" s="4" t="n"/>
      <c r="D109" s="4" t="n"/>
      <c r="E109" s="4" t="n"/>
      <c r="F109" s="4" t="n"/>
      <c r="G109" s="4" t="n"/>
    </row>
    <row r="110" ht="27" customHeight="1">
      <c r="A110" s="20" t="inlineStr">
        <is>
          <t>Вариант для: ОКМ</t>
        </is>
      </c>
      <c r="B110" s="21" t="n"/>
      <c r="C110" s="21" t="n"/>
      <c r="D110" s="21" t="n"/>
      <c r="E110" s="21" t="n"/>
      <c r="F110" s="21" t="n"/>
      <c r="G110" s="21" t="n"/>
    </row>
    <row r="111" ht="64" customHeight="1">
      <c r="A111" s="22" t="inlineStr">
        <is>
          <t>Назначение агрегации маршрутов. Условия объединения IPv4- и IPv6-маршрутов. Принцип объединения IPv4-сетей в один адрес. Расчет суммарного статического IPv4-маршрута. Расчет суммарного IPv6-маршрута. Примеры реализации автоматического и административного суммирования IPv4- и IPv6-маршрутов. Назначение плавающих статических IPv4- и IPv6-маршрутов, принципы их конфигурации.</t>
        </is>
      </c>
      <c r="B111" s="2" t="n"/>
      <c r="C111" s="2" t="n"/>
      <c r="D111" s="2" t="n"/>
      <c r="E111" s="2" t="n"/>
      <c r="F111" s="2" t="n"/>
      <c r="G111" s="2" t="n"/>
    </row>
    <row r="112" ht="51" customHeight="1">
      <c r="A112" s="3" t="inlineStr">
        <is>
          <t>ОКМ — Основы обеспечения кибербезопасности. маршрутизация. IPv4- и IPv6-адресация
Раздел: Маршрутизация. IPv4 и IPv6 адресация · УТП: таблица 2, строка 23</t>
        </is>
      </c>
      <c r="B112" s="4" t="n"/>
      <c r="C112" s="4" t="n"/>
      <c r="D112" s="4" t="n"/>
      <c r="E112" s="4" t="n"/>
      <c r="F112" s="4" t="n"/>
      <c r="G112" s="4" t="n"/>
    </row>
    <row r="113" ht="30" customHeight="1">
      <c r="A113" s="3" t="inlineStr">
        <is>
          <t>В программе: Тема 9. Агрегация маршрутов (2 часа лекции, 2 часа лабораторные занятия).</t>
        </is>
      </c>
      <c r="B113" s="4" t="n"/>
      <c r="C113" s="4" t="n"/>
      <c r="D113" s="4" t="n"/>
      <c r="E113" s="4" t="n"/>
      <c r="F113" s="4" t="n"/>
      <c r="G113" s="4" t="n"/>
    </row>
    <row r="114" ht="25" customHeight="1">
      <c r="A114" s="23" t="inlineStr">
        <is>
          <t>Исходная программа ОКМ ↗</t>
        </is>
      </c>
      <c r="D114" s="23" t="inlineStr">
        <is>
          <t>Исходный УТП ОКМ ↗</t>
        </is>
      </c>
    </row>
    <row r="115" ht="27" customHeight="1">
      <c r="A115" s="24">
        <f>HYPERLINK("#'Выбор тем'!E"&amp;MATCH("T-DA2CB29B",'Выбор тем'!$A:$A,0),"← Вернуться к теме")</f>
        <v/>
      </c>
    </row>
    <row r="117" ht="38" customHeight="1">
      <c r="A117" s="18" t="inlineStr">
        <is>
          <t>Анализ USB-устройств</t>
        </is>
      </c>
      <c r="B117" s="19" t="n"/>
      <c r="C117" s="19" t="n"/>
      <c r="D117" s="19" t="n"/>
      <c r="E117" s="19" t="n"/>
      <c r="F117" s="19" t="n"/>
      <c r="G117" s="19" t="n"/>
    </row>
    <row r="118" ht="26" customHeight="1">
      <c r="A118" s="3" t="inlineStr">
        <is>
          <t>T-2E9CC8B0 · Программы: РКИОК</t>
        </is>
      </c>
      <c r="B118" s="4" t="n"/>
      <c r="C118" s="4" t="n"/>
      <c r="D118" s="4" t="n"/>
      <c r="E118" s="4" t="n"/>
      <c r="F118" s="4" t="n"/>
      <c r="G118" s="4" t="n"/>
    </row>
    <row r="119" ht="27" customHeight="1">
      <c r="A119" s="20" t="inlineStr">
        <is>
          <t>Вариант для: РКИОК</t>
        </is>
      </c>
      <c r="B119" s="21" t="n"/>
      <c r="C119" s="21" t="n"/>
      <c r="D119" s="21" t="n"/>
      <c r="E119" s="21" t="n"/>
      <c r="F119" s="21" t="n"/>
      <c r="G119" s="21" t="n"/>
    </row>
    <row r="120" ht="48" customHeight="1">
      <c r="A120" s="22" t="inlineStr">
        <is>
          <t>Обзор угроз, связанных с USB-устройствами. Обзор артефактов, остающихся в системе при подключении USB-устройств. Обзор возможностей USBDetective. Обсуждение практической ценности собранных данных.</t>
        </is>
      </c>
      <c r="B120" s="2" t="n"/>
      <c r="C120" s="2" t="n"/>
      <c r="D120" s="2" t="n"/>
      <c r="E120" s="2" t="n"/>
      <c r="F120" s="2" t="n"/>
      <c r="G120" s="2" t="n"/>
    </row>
    <row r="121" ht="51" customHeight="1">
      <c r="A121" s="3" t="inlineStr">
        <is>
          <t>РКИОК — Реагирование на киберинциденты и отражение кибератак
Раздел: Введение в киберкриминалистику · УТП: таблица 2, строка 24</t>
        </is>
      </c>
      <c r="B121" s="4" t="n"/>
      <c r="C121" s="4" t="n"/>
      <c r="D121" s="4" t="n"/>
      <c r="E121" s="4" t="n"/>
      <c r="F121" s="4" t="n"/>
      <c r="G121" s="4" t="n"/>
    </row>
    <row r="122" ht="30" customHeight="1">
      <c r="A122" s="3" t="inlineStr">
        <is>
          <t>В программе: Тема 4. Анализ USB-устройств (1 час лекции).</t>
        </is>
      </c>
      <c r="B122" s="4" t="n"/>
      <c r="C122" s="4" t="n"/>
      <c r="D122" s="4" t="n"/>
      <c r="E122" s="4" t="n"/>
      <c r="F122" s="4" t="n"/>
      <c r="G122" s="4" t="n"/>
    </row>
    <row r="123" ht="25" customHeight="1">
      <c r="A123" s="23" t="inlineStr">
        <is>
          <t>Исходная программа РКИОК ↗</t>
        </is>
      </c>
      <c r="D123" s="23" t="inlineStr">
        <is>
          <t>Исходный УТП РКИОК ↗</t>
        </is>
      </c>
    </row>
    <row r="124" ht="27" customHeight="1">
      <c r="A124" s="24">
        <f>HYPERLINK("#'Выбор тем'!E"&amp;MATCH("T-2E9CC8B0",'Выбор тем'!$A:$A,0),"← Вернуться к теме")</f>
        <v/>
      </c>
    </row>
    <row r="126" ht="38" customHeight="1">
      <c r="A126" s="18" t="inlineStr">
        <is>
          <t>Анализ оперативной памяти</t>
        </is>
      </c>
      <c r="B126" s="19" t="n"/>
      <c r="C126" s="19" t="n"/>
      <c r="D126" s="19" t="n"/>
      <c r="E126" s="19" t="n"/>
      <c r="F126" s="19" t="n"/>
      <c r="G126" s="19" t="n"/>
    </row>
    <row r="127" ht="26" customHeight="1">
      <c r="A127" s="3" t="inlineStr">
        <is>
          <t>T-124F3A12 · Программы: РКИОК</t>
        </is>
      </c>
      <c r="B127" s="4" t="n"/>
      <c r="C127" s="4" t="n"/>
      <c r="D127" s="4" t="n"/>
      <c r="E127" s="4" t="n"/>
      <c r="F127" s="4" t="n"/>
      <c r="G127" s="4" t="n"/>
    </row>
    <row r="128" ht="27" customHeight="1">
      <c r="A128" s="20" t="inlineStr">
        <is>
          <t>Вариант для: РКИОК</t>
        </is>
      </c>
      <c r="B128" s="21" t="n"/>
      <c r="C128" s="21" t="n"/>
      <c r="D128" s="21" t="n"/>
      <c r="E128" s="21" t="n"/>
      <c r="F128" s="21" t="n"/>
      <c r="G128" s="21" t="n"/>
    </row>
    <row r="129" ht="32" customHeight="1">
      <c r="A129" s="22" t="inlineStr">
        <is>
          <t>Цели анализа оперативной памяти. Обзор возможностей инструментов для анализа оперативной памяти. Сравнение volatility2 и volatility3.</t>
        </is>
      </c>
      <c r="B129" s="2" t="n"/>
      <c r="C129" s="2" t="n"/>
      <c r="D129" s="2" t="n"/>
      <c r="E129" s="2" t="n"/>
      <c r="F129" s="2" t="n"/>
      <c r="G129" s="2" t="n"/>
    </row>
    <row r="130" ht="51" customHeight="1">
      <c r="A130" s="3" t="inlineStr">
        <is>
          <t>РКИОК — Реагирование на киберинциденты и отражение кибератак
Раздел: Введение в киберкриминалистику · УТП: таблица 2, строка 23</t>
        </is>
      </c>
      <c r="B130" s="4" t="n"/>
      <c r="C130" s="4" t="n"/>
      <c r="D130" s="4" t="n"/>
      <c r="E130" s="4" t="n"/>
      <c r="F130" s="4" t="n"/>
      <c r="G130" s="4" t="n"/>
    </row>
    <row r="131" ht="30" customHeight="1">
      <c r="A131" s="3" t="inlineStr">
        <is>
          <t>В программе: Тема 3. Анализ оперативной памяти (1 час лекции).</t>
        </is>
      </c>
      <c r="B131" s="4" t="n"/>
      <c r="C131" s="4" t="n"/>
      <c r="D131" s="4" t="n"/>
      <c r="E131" s="4" t="n"/>
      <c r="F131" s="4" t="n"/>
      <c r="G131" s="4" t="n"/>
    </row>
    <row r="132" ht="25" customHeight="1">
      <c r="A132" s="23" t="inlineStr">
        <is>
          <t>Исходная программа РКИОК ↗</t>
        </is>
      </c>
      <c r="D132" s="23" t="inlineStr">
        <is>
          <t>Исходный УТП РКИОК ↗</t>
        </is>
      </c>
    </row>
    <row r="133" ht="27" customHeight="1">
      <c r="A133" s="24">
        <f>HYPERLINK("#'Выбор тем'!E"&amp;MATCH("T-124F3A12",'Выбор тем'!$A:$A,0),"← Вернуться к теме")</f>
        <v/>
      </c>
    </row>
    <row r="135" ht="38" customHeight="1">
      <c r="A135" s="18" t="inlineStr">
        <is>
          <t>Анализ сетевого трафика</t>
        </is>
      </c>
      <c r="B135" s="19" t="n"/>
      <c r="C135" s="19" t="n"/>
      <c r="D135" s="19" t="n"/>
      <c r="E135" s="19" t="n"/>
      <c r="F135" s="19" t="n"/>
      <c r="G135" s="19" t="n"/>
    </row>
    <row r="136" ht="26" customHeight="1">
      <c r="A136" s="3" t="inlineStr">
        <is>
          <t>T-82A2100F · Программы: ПТИИМ</t>
        </is>
      </c>
      <c r="B136" s="4" t="n"/>
      <c r="C136" s="4" t="n"/>
      <c r="D136" s="4" t="n"/>
      <c r="E136" s="4" t="n"/>
      <c r="F136" s="4" t="n"/>
      <c r="G136" s="4" t="n"/>
    </row>
    <row r="137" ht="27" customHeight="1">
      <c r="A137" s="20" t="inlineStr">
        <is>
          <t>Вариант для: ПТИИМ</t>
        </is>
      </c>
      <c r="B137" s="21" t="n"/>
      <c r="C137" s="21" t="n"/>
      <c r="D137" s="21" t="n"/>
      <c r="E137" s="21" t="n"/>
      <c r="F137" s="21" t="n"/>
      <c r="G137" s="21" t="n"/>
    </row>
    <row r="138" ht="48" customHeight="1">
      <c r="A138" s="22" t="inlineStr">
        <is>
          <t>Постановка задачи анализа сетевого трафика и определение целевых классов событий. Выбор признаков, характеризующих сетевые соединения и возможную вредоносную активность.</t>
        </is>
      </c>
      <c r="B138" s="2" t="n"/>
      <c r="C138" s="2" t="n"/>
      <c r="D138" s="2" t="n"/>
      <c r="E138" s="2" t="n"/>
      <c r="F138" s="2" t="n"/>
      <c r="G138" s="2" t="n"/>
    </row>
    <row r="139" ht="32" customHeight="1">
      <c r="A139" s="22" t="inlineStr">
        <is>
          <t>Сбор, очистка и предварительная обработка данных о сетевом трафике. Преобразование исходных данных в формат, пригодный для машинного обучения.</t>
        </is>
      </c>
      <c r="B139" s="2" t="n"/>
      <c r="C139" s="2" t="n"/>
      <c r="D139" s="2" t="n"/>
      <c r="E139" s="2" t="n"/>
      <c r="F139" s="2" t="n"/>
      <c r="G139" s="2" t="n"/>
    </row>
    <row r="140" ht="48" customHeight="1">
      <c r="A140" s="22" t="inlineStr">
        <is>
          <t>Разделение данных на обучающую и тестовую выборки. Выбор алгоритма и обучение модели для классификации сетевой активности или обнаружения аномалий.</t>
        </is>
      </c>
      <c r="B140" s="2" t="n"/>
      <c r="C140" s="2" t="n"/>
      <c r="D140" s="2" t="n"/>
      <c r="E140" s="2" t="n"/>
      <c r="F140" s="2" t="n"/>
      <c r="G140" s="2" t="n"/>
    </row>
    <row r="141" ht="32" customHeight="1">
      <c r="A141" s="22" t="inlineStr">
        <is>
          <t>Оценка результатов работы модели с использованием метрик качества и матрицы ошибок.</t>
        </is>
      </c>
      <c r="B141" s="2" t="n"/>
      <c r="C141" s="2" t="n"/>
      <c r="D141" s="2" t="n"/>
      <c r="E141" s="2" t="n"/>
      <c r="F141" s="2" t="n"/>
      <c r="G141" s="2" t="n"/>
    </row>
    <row r="142" ht="48" customHeight="1">
      <c r="A142" s="22" t="inlineStr">
        <is>
          <t>Анализ ложноположительных и ложноотрицательных результатов. Определение возможностей и ограничений применения разработанной модели для мониторинга сетевого трафика.</t>
        </is>
      </c>
      <c r="B142" s="2" t="n"/>
      <c r="C142" s="2" t="n"/>
      <c r="D142" s="2" t="n"/>
      <c r="E142" s="2" t="n"/>
      <c r="F142" s="2" t="n"/>
      <c r="G142" s="2" t="n"/>
    </row>
    <row r="143" ht="51" customHeight="1">
      <c r="A143"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18</t>
        </is>
      </c>
      <c r="B143" s="4" t="n"/>
      <c r="C143" s="4" t="n"/>
      <c r="D143" s="4" t="n"/>
      <c r="E143" s="4" t="n"/>
      <c r="F143" s="4" t="n"/>
      <c r="G143" s="4" t="n"/>
    </row>
    <row r="144" ht="30" customHeight="1">
      <c r="A144" s="3" t="inlineStr">
        <is>
          <t>В программе: Тема 1. Анализ сетевого трафика (4 часа практические занятия).</t>
        </is>
      </c>
      <c r="B144" s="4" t="n"/>
      <c r="C144" s="4" t="n"/>
      <c r="D144" s="4" t="n"/>
      <c r="E144" s="4" t="n"/>
      <c r="F144" s="4" t="n"/>
      <c r="G144" s="4" t="n"/>
    </row>
    <row r="145" ht="25" customHeight="1">
      <c r="A145" s="23" t="inlineStr">
        <is>
          <t>Исходная программа ПТИИМ ↗</t>
        </is>
      </c>
      <c r="D145" s="23" t="inlineStr">
        <is>
          <t>Исходный УТП ПТИИМ ↗</t>
        </is>
      </c>
    </row>
    <row r="146" ht="27" customHeight="1">
      <c r="A146" s="24">
        <f>HYPERLINK("#'Выбор тем'!E"&amp;MATCH("T-82A2100F",'Выбор тем'!$A:$A,0),"← Вернуться к теме")</f>
        <v/>
      </c>
    </row>
    <row r="148" ht="38" customHeight="1">
      <c r="A148" s="18" t="inlineStr">
        <is>
          <t>Анализ файловых систем</t>
        </is>
      </c>
      <c r="B148" s="19" t="n"/>
      <c r="C148" s="19" t="n"/>
      <c r="D148" s="19" t="n"/>
      <c r="E148" s="19" t="n"/>
      <c r="F148" s="19" t="n"/>
      <c r="G148" s="19" t="n"/>
    </row>
    <row r="149" ht="26" customHeight="1">
      <c r="A149" s="3" t="inlineStr">
        <is>
          <t>T-0A58FEF1 · Программы: РКИОК</t>
        </is>
      </c>
      <c r="B149" s="4" t="n"/>
      <c r="C149" s="4" t="n"/>
      <c r="D149" s="4" t="n"/>
      <c r="E149" s="4" t="n"/>
      <c r="F149" s="4" t="n"/>
      <c r="G149" s="4" t="n"/>
    </row>
    <row r="150" ht="27" customHeight="1">
      <c r="A150" s="20" t="inlineStr">
        <is>
          <t>Вариант для: РКИОК</t>
        </is>
      </c>
      <c r="B150" s="21" t="n"/>
      <c r="C150" s="21" t="n"/>
      <c r="D150" s="21" t="n"/>
      <c r="E150" s="21" t="n"/>
      <c r="F150" s="21" t="n"/>
      <c r="G150" s="21" t="n"/>
    </row>
    <row r="151" ht="48" customHeight="1">
      <c r="A151" s="22" t="inlineStr">
        <is>
          <t>Цели анализа файловых систем. Этапы анализа файловых систем. Обзор возможностей инструментов для анализа файловых систем. Пример собираемых артефактов.</t>
        </is>
      </c>
      <c r="B151" s="2" t="n"/>
      <c r="C151" s="2" t="n"/>
      <c r="D151" s="2" t="n"/>
      <c r="E151" s="2" t="n"/>
      <c r="F151" s="2" t="n"/>
      <c r="G151" s="2" t="n"/>
    </row>
    <row r="152" ht="51" customHeight="1">
      <c r="A152" s="3" t="inlineStr">
        <is>
          <t>РКИОК — Реагирование на киберинциденты и отражение кибератак
Раздел: Введение в киберкриминалистику · УТП: таблица 2, строка 22</t>
        </is>
      </c>
      <c r="B152" s="4" t="n"/>
      <c r="C152" s="4" t="n"/>
      <c r="D152" s="4" t="n"/>
      <c r="E152" s="4" t="n"/>
      <c r="F152" s="4" t="n"/>
      <c r="G152" s="4" t="n"/>
    </row>
    <row r="153" ht="30" customHeight="1">
      <c r="A153" s="3" t="inlineStr">
        <is>
          <t>В программе: Тема 2. Анализ файловых систем (1 час лекции).</t>
        </is>
      </c>
      <c r="B153" s="4" t="n"/>
      <c r="C153" s="4" t="n"/>
      <c r="D153" s="4" t="n"/>
      <c r="E153" s="4" t="n"/>
      <c r="F153" s="4" t="n"/>
      <c r="G153" s="4" t="n"/>
    </row>
    <row r="154" ht="25" customHeight="1">
      <c r="A154" s="23" t="inlineStr">
        <is>
          <t>Исходная программа РКИОК ↗</t>
        </is>
      </c>
      <c r="D154" s="23" t="inlineStr">
        <is>
          <t>Исходный УТП РКИОК ↗</t>
        </is>
      </c>
    </row>
    <row r="155" ht="27" customHeight="1">
      <c r="A155" s="24">
        <f>HYPERLINK("#'Выбор тем'!E"&amp;MATCH("T-0A58FEF1",'Выбор тем'!$A:$A,0),"← Вернуться к теме")</f>
        <v/>
      </c>
    </row>
    <row r="157" ht="38" customHeight="1">
      <c r="A157" s="18" t="inlineStr">
        <is>
          <t>Архитектура SIEM. Установка и настройка основных компонентов</t>
        </is>
      </c>
      <c r="B157" s="19" t="n"/>
      <c r="C157" s="19" t="n"/>
      <c r="D157" s="19" t="n"/>
      <c r="E157" s="19" t="n"/>
      <c r="F157" s="19" t="n"/>
      <c r="G157" s="19" t="n"/>
    </row>
    <row r="158" ht="26" customHeight="1">
      <c r="A158" s="3" t="inlineStr">
        <is>
          <t>T-721A690A · Программы: ОКБО</t>
        </is>
      </c>
      <c r="B158" s="4" t="n"/>
      <c r="C158" s="4" t="n"/>
      <c r="D158" s="4" t="n"/>
      <c r="E158" s="4" t="n"/>
      <c r="F158" s="4" t="n"/>
      <c r="G158" s="4" t="n"/>
    </row>
    <row r="159" ht="27" customHeight="1">
      <c r="A159" s="20" t="inlineStr">
        <is>
          <t>Вариант для: ОКБО</t>
        </is>
      </c>
      <c r="B159" s="21" t="n"/>
      <c r="C159" s="21" t="n"/>
      <c r="D159" s="21" t="n"/>
      <c r="E159" s="21" t="n"/>
      <c r="F159" s="21" t="n"/>
      <c r="G159" s="21" t="n"/>
    </row>
    <row r="160" ht="31" customHeight="1">
      <c r="A160" s="25" t="inlineStr">
        <is>
          <t>Названия в УТП и обновлённой программе различаются. Приведён фактический текст соответствующего раздела программы.</t>
        </is>
      </c>
      <c r="B160" s="26" t="n"/>
      <c r="C160" s="26" t="n"/>
      <c r="D160" s="26" t="n"/>
      <c r="E160" s="26" t="n"/>
      <c r="F160" s="26" t="n"/>
      <c r="G160" s="26" t="n"/>
    </row>
    <row r="161" ht="48" customHeight="1">
      <c r="A161" s="22" t="inlineStr">
        <is>
          <t>Рассмотрение архитектуры SIEM-системы на примере NT SIEM. Обзор архитектуры NT SIEM: collectors, parsers, storage, correlation engine, UI. Направления развития: масштабируемость, интеграция с XDR/SOAR. Установка базового стенда, подключение источников, проверка каналов.</t>
        </is>
      </c>
      <c r="B161" s="2" t="n"/>
      <c r="C161" s="2" t="n"/>
      <c r="D161" s="2" t="n"/>
      <c r="E161" s="2" t="n"/>
      <c r="F161" s="2" t="n"/>
      <c r="G161" s="2" t="n"/>
    </row>
    <row r="162" ht="51" customHeight="1">
      <c r="A162"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29</t>
        </is>
      </c>
      <c r="B162" s="4" t="n"/>
      <c r="C162" s="4" t="n"/>
      <c r="D162" s="4" t="n"/>
      <c r="E162" s="4" t="n"/>
      <c r="F162" s="4" t="n"/>
      <c r="G162" s="4" t="n"/>
    </row>
    <row r="163" ht="30" customHeight="1">
      <c r="A163" s="3" t="inlineStr">
        <is>
          <t>В программе: Тема 2. Архитектура, назначение NT SIEM. Установка и настройка основных компонентов (1 час практические занятия)</t>
        </is>
      </c>
      <c r="B163" s="4" t="n"/>
      <c r="C163" s="4" t="n"/>
      <c r="D163" s="4" t="n"/>
      <c r="E163" s="4" t="n"/>
      <c r="F163" s="4" t="n"/>
      <c r="G163" s="4" t="n"/>
    </row>
    <row r="164" ht="25" customHeight="1">
      <c r="A164" s="23" t="inlineStr">
        <is>
          <t>Исходная программа ОКБО ↗</t>
        </is>
      </c>
      <c r="D164" s="23" t="inlineStr">
        <is>
          <t>Исходный УТП ОКБО ↗</t>
        </is>
      </c>
    </row>
    <row r="165" ht="27" customHeight="1">
      <c r="A165" s="24">
        <f>HYPERLINK("#'Выбор тем'!E"&amp;MATCH("T-721A690A",'Выбор тем'!$A:$A,0),"← Вернуться к теме")</f>
        <v/>
      </c>
    </row>
    <row r="167" ht="38" customHeight="1">
      <c r="A167" s="18" t="inlineStr">
        <is>
          <t>Архитектура автоматизированного ЦКБ</t>
        </is>
      </c>
      <c r="B167" s="19" t="n"/>
      <c r="C167" s="19" t="n"/>
      <c r="D167" s="19" t="n"/>
      <c r="E167" s="19" t="n"/>
      <c r="F167" s="19" t="n"/>
      <c r="G167" s="19" t="n"/>
    </row>
    <row r="168" ht="26" customHeight="1">
      <c r="A168" s="3" t="inlineStr">
        <is>
          <t>T-8AC0A0F0 · Программы: РКИОК</t>
        </is>
      </c>
      <c r="B168" s="4" t="n"/>
      <c r="C168" s="4" t="n"/>
      <c r="D168" s="4" t="n"/>
      <c r="E168" s="4" t="n"/>
      <c r="F168" s="4" t="n"/>
      <c r="G168" s="4" t="n"/>
    </row>
    <row r="169" ht="27" customHeight="1">
      <c r="A169" s="20" t="inlineStr">
        <is>
          <t>Вариант для: РКИОК</t>
        </is>
      </c>
      <c r="B169" s="21" t="n"/>
      <c r="C169" s="21" t="n"/>
      <c r="D169" s="21" t="n"/>
      <c r="E169" s="21" t="n"/>
      <c r="F169" s="21" t="n"/>
      <c r="G169" s="21" t="n"/>
    </row>
    <row r="170" ht="48" customHeight="1">
      <c r="A170" s="22" t="inlineStr">
        <is>
          <t>Описание компонентов современного центра мониторинга безопасности. Взаимосвязь SIEM, SOAR, TI в единой инфраструктуре. Требования к масштабируемости, отказоустойчивости и безопасности.</t>
        </is>
      </c>
      <c r="B170" s="2" t="n"/>
      <c r="C170" s="2" t="n"/>
      <c r="D170" s="2" t="n"/>
      <c r="E170" s="2" t="n"/>
      <c r="F170" s="2" t="n"/>
      <c r="G170" s="2" t="n"/>
    </row>
    <row r="171" ht="51" customHeight="1">
      <c r="A171" s="3" t="inlineStr">
        <is>
          <t>РКИОК — Реагирование на киберинциденты и отражение кибератак
Раздел: Связь SOAR/TI/SIEM · УТП: таблица 2, строка 69</t>
        </is>
      </c>
      <c r="B171" s="4" t="n"/>
      <c r="C171" s="4" t="n"/>
      <c r="D171" s="4" t="n"/>
      <c r="E171" s="4" t="n"/>
      <c r="F171" s="4" t="n"/>
      <c r="G171" s="4" t="n"/>
    </row>
    <row r="172" ht="30" customHeight="1">
      <c r="A172" s="3" t="inlineStr">
        <is>
          <t>В программе: Тема 3. Архитектура автоматизированного ЦКБ (2 часа лекции).</t>
        </is>
      </c>
      <c r="B172" s="4" t="n"/>
      <c r="C172" s="4" t="n"/>
      <c r="D172" s="4" t="n"/>
      <c r="E172" s="4" t="n"/>
      <c r="F172" s="4" t="n"/>
      <c r="G172" s="4" t="n"/>
    </row>
    <row r="173" ht="25" customHeight="1">
      <c r="A173" s="23" t="inlineStr">
        <is>
          <t>Исходная программа РКИОК ↗</t>
        </is>
      </c>
      <c r="D173" s="23" t="inlineStr">
        <is>
          <t>Исходный УТП РКИОК ↗</t>
        </is>
      </c>
    </row>
    <row r="174" ht="27" customHeight="1">
      <c r="A174" s="24">
        <f>HYPERLINK("#'Выбор тем'!E"&amp;MATCH("T-8AC0A0F0",'Выбор тем'!$A:$A,0),"← Вернуться к теме")</f>
        <v/>
      </c>
    </row>
    <row r="176" ht="38" customHeight="1">
      <c r="A176" s="18" t="inlineStr">
        <is>
          <t>Архитектура информационных систем и их активы</t>
        </is>
      </c>
      <c r="B176" s="19" t="n"/>
      <c r="C176" s="19" t="n"/>
      <c r="D176" s="19" t="n"/>
      <c r="E176" s="19" t="n"/>
      <c r="F176" s="19" t="n"/>
      <c r="G176" s="19" t="n"/>
    </row>
    <row r="177" ht="26" customHeight="1">
      <c r="A177" s="3" t="inlineStr">
        <is>
          <t>T-EB32702A · Программы: ТЗПД</t>
        </is>
      </c>
      <c r="B177" s="4" t="n"/>
      <c r="C177" s="4" t="n"/>
      <c r="D177" s="4" t="n"/>
      <c r="E177" s="4" t="n"/>
      <c r="F177" s="4" t="n"/>
      <c r="G177" s="4" t="n"/>
    </row>
    <row r="178" ht="27" customHeight="1">
      <c r="A178" s="20" t="inlineStr">
        <is>
          <t>Вариант для: ТЗПД</t>
        </is>
      </c>
      <c r="B178" s="21" t="n"/>
      <c r="C178" s="21" t="n"/>
      <c r="D178" s="21" t="n"/>
      <c r="E178" s="21" t="n"/>
      <c r="F178" s="21" t="n"/>
      <c r="G178" s="21" t="n"/>
    </row>
    <row r="179" ht="32" customHeight="1">
      <c r="A179" s="22" t="inlineStr">
        <is>
          <t>Архитектура современных информационных систем.</t>
        </is>
      </c>
      <c r="B179" s="2" t="n"/>
      <c r="C179" s="2" t="n"/>
      <c r="D179" s="2" t="n"/>
      <c r="E179" s="2" t="n"/>
      <c r="F179" s="2" t="n"/>
      <c r="G179" s="2" t="n"/>
    </row>
    <row r="180" ht="48" customHeight="1">
      <c r="A180" s="22" t="inlineStr">
        <is>
          <t>Структура и основные компоненты информационных систем, предназначенных для сбора, обработки, хранения и передачи данных. Уровневые модели построения информационных систем.</t>
        </is>
      </c>
      <c r="B180" s="2" t="n"/>
      <c r="C180" s="2" t="n"/>
      <c r="D180" s="2" t="n"/>
      <c r="E180" s="2" t="n"/>
      <c r="F180" s="2" t="n"/>
      <c r="G180" s="2" t="n"/>
    </row>
    <row r="181" ht="48" customHeight="1">
      <c r="A181" s="22" t="inlineStr">
        <is>
          <t>Распределение функций между клиентскими устройствами, серверной инфраструктурой, системами хранения данных, сетевыми сервисами и прикладным программным обеспечением.</t>
        </is>
      </c>
      <c r="B181" s="2" t="n"/>
      <c r="C181" s="2" t="n"/>
      <c r="D181" s="2" t="n"/>
      <c r="E181" s="2" t="n"/>
      <c r="F181" s="2" t="n"/>
      <c r="G181" s="2" t="n"/>
    </row>
    <row r="182" ht="32" customHeight="1">
      <c r="A182" s="22" t="inlineStr">
        <is>
          <t>Виды активов информационных систем.</t>
        </is>
      </c>
      <c r="B182" s="2" t="n"/>
      <c r="C182" s="2" t="n"/>
      <c r="D182" s="2" t="n"/>
      <c r="E182" s="2" t="n"/>
      <c r="F182" s="2" t="n"/>
      <c r="G182" s="2" t="n"/>
    </row>
    <row r="183" ht="32" customHeight="1">
      <c r="A183" s="22" t="inlineStr">
        <is>
          <t>Классификация активов:</t>
        </is>
      </c>
      <c r="B183" s="2" t="n"/>
      <c r="C183" s="2" t="n"/>
      <c r="D183" s="2" t="n"/>
      <c r="E183" s="2" t="n"/>
      <c r="F183" s="2" t="n"/>
      <c r="G183" s="2" t="n"/>
    </row>
    <row r="184" ht="32" customHeight="1">
      <c r="A184" s="22" t="inlineStr">
        <is>
          <t>технические активы – серверы, рабочие станции, сетевое оборудование, средства хранения данных;</t>
        </is>
      </c>
      <c r="B184" s="2" t="n"/>
      <c r="C184" s="2" t="n"/>
      <c r="D184" s="2" t="n"/>
      <c r="E184" s="2" t="n"/>
      <c r="F184" s="2" t="n"/>
      <c r="G184" s="2" t="n"/>
    </row>
    <row r="185" ht="32" customHeight="1">
      <c r="A185" s="22" t="inlineStr">
        <is>
          <t>программные активы – операционные системы, системное и прикладное программное обеспечение, виртуальные среды, сервисы;</t>
        </is>
      </c>
      <c r="B185" s="2" t="n"/>
      <c r="C185" s="2" t="n"/>
      <c r="D185" s="2" t="n"/>
      <c r="E185" s="2" t="n"/>
      <c r="F185" s="2" t="n"/>
      <c r="G185" s="2" t="n"/>
    </row>
    <row r="186" ht="32" customHeight="1">
      <c r="A186" s="22" t="inlineStr">
        <is>
          <t>информационные активы – базы данных, документы, конфигурации, машинные журналы, учетные записи, ключи доступа, параметры систем.</t>
        </is>
      </c>
      <c r="B186" s="2" t="n"/>
      <c r="C186" s="2" t="n"/>
      <c r="D186" s="2" t="n"/>
      <c r="E186" s="2" t="n"/>
      <c r="F186" s="2" t="n"/>
      <c r="G186" s="2" t="n"/>
    </row>
    <row r="187" ht="32" customHeight="1">
      <c r="A187" s="22" t="inlineStr">
        <is>
          <t>Роль каждого вида активов в функционировании ИС, понятие критичности активов. Связь активов с жизненным циклом данных, в том числе персональных.</t>
        </is>
      </c>
      <c r="B187" s="2" t="n"/>
      <c r="C187" s="2" t="n"/>
      <c r="D187" s="2" t="n"/>
      <c r="E187" s="2" t="n"/>
      <c r="F187" s="2" t="n"/>
      <c r="G187" s="2" t="n"/>
    </row>
    <row r="188" ht="32" customHeight="1">
      <c r="A188" s="22" t="inlineStr">
        <is>
          <t>Организация информационных потоков в ИС.</t>
        </is>
      </c>
      <c r="B188" s="2" t="n"/>
      <c r="C188" s="2" t="n"/>
      <c r="D188" s="2" t="n"/>
      <c r="E188" s="2" t="n"/>
      <c r="F188" s="2" t="n"/>
      <c r="G188" s="2" t="n"/>
    </row>
    <row r="189" ht="48" customHeight="1">
      <c r="A189" s="22" t="inlineStr">
        <is>
          <t>Логические связи между компонентами, маршруты обработки данных. Примеры архитектур: клиент–сервер, трёхуровневые приложения, распределённые системы, микросервисные платформы.</t>
        </is>
      </c>
      <c r="B189" s="2" t="n"/>
      <c r="C189" s="2" t="n"/>
      <c r="D189" s="2" t="n"/>
      <c r="E189" s="2" t="n"/>
      <c r="F189" s="2" t="n"/>
      <c r="G189" s="2" t="n"/>
    </row>
    <row r="190" ht="32" customHeight="1">
      <c r="A190" s="22" t="inlineStr">
        <is>
          <t>Инфраструктурные решения и подходы.</t>
        </is>
      </c>
      <c r="B190" s="2" t="n"/>
      <c r="C190" s="2" t="n"/>
      <c r="D190" s="2" t="n"/>
      <c r="E190" s="2" t="n"/>
      <c r="F190" s="2" t="n"/>
      <c r="G190" s="2" t="n"/>
    </row>
    <row r="191" ht="48" customHeight="1">
      <c r="A191" s="22" t="inlineStr">
        <is>
          <t>Использование виртуализации, контейнеризации, кластеризации. Централизованные хранилища, серверные фермы, облачные модели. Резервирование, масштабирование и обеспечение отказоустойчивости как элементы архитектуры.</t>
        </is>
      </c>
      <c r="B191" s="2" t="n"/>
      <c r="C191" s="2" t="n"/>
      <c r="D191" s="2" t="n"/>
      <c r="E191" s="2" t="n"/>
      <c r="F191" s="2" t="n"/>
      <c r="G191" s="2" t="n"/>
    </row>
    <row r="192" ht="32" customHeight="1">
      <c r="A192" s="22" t="inlineStr">
        <is>
          <t>Вопросы тематической дискуссии:</t>
        </is>
      </c>
      <c r="B192" s="2" t="n"/>
      <c r="C192" s="2" t="n"/>
      <c r="D192" s="2" t="n"/>
      <c r="E192" s="2" t="n"/>
      <c r="F192" s="2" t="n"/>
      <c r="G192" s="2" t="n"/>
    </row>
    <row r="193" ht="32" customHeight="1">
      <c r="A193" s="22" t="inlineStr">
        <is>
          <t>Особенности организации информационных потоков между компонентами информационной системы.</t>
        </is>
      </c>
      <c r="B193" s="2" t="n"/>
      <c r="C193" s="2" t="n"/>
      <c r="D193" s="2" t="n"/>
      <c r="E193" s="2" t="n"/>
      <c r="F193" s="2" t="n"/>
      <c r="G193" s="2" t="n"/>
    </row>
    <row r="194" ht="32" customHeight="1">
      <c r="A194" s="22" t="inlineStr">
        <is>
          <t>Влияние архитектурных решений на масштабируемость, отказоустойчивость и защищенность информационной системы.</t>
        </is>
      </c>
      <c r="B194" s="2" t="n"/>
      <c r="C194" s="2" t="n"/>
      <c r="D194" s="2" t="n"/>
      <c r="E194" s="2" t="n"/>
      <c r="F194" s="2" t="n"/>
      <c r="G194" s="2" t="n"/>
    </row>
    <row r="195" ht="51" customHeight="1">
      <c r="A195" s="3" t="inlineStr">
        <is>
          <t>ТЗПД — Техническая защита персональных данных
Раздел: Основы функционирования информационных систем · УТП: таблица 2, строка 9</t>
        </is>
      </c>
      <c r="B195" s="4" t="n"/>
      <c r="C195" s="4" t="n"/>
      <c r="D195" s="4" t="n"/>
      <c r="E195" s="4" t="n"/>
      <c r="F195" s="4" t="n"/>
      <c r="G195" s="4" t="n"/>
    </row>
    <row r="196" ht="30" customHeight="1">
      <c r="A196" s="3" t="inlineStr">
        <is>
          <t>В программе: Тема 1. Архитектура информационных систем и их активы (3 часа лекции, 1 час тематическая дискуссия).</t>
        </is>
      </c>
      <c r="B196" s="4" t="n"/>
      <c r="C196" s="4" t="n"/>
      <c r="D196" s="4" t="n"/>
      <c r="E196" s="4" t="n"/>
      <c r="F196" s="4" t="n"/>
      <c r="G196" s="4" t="n"/>
    </row>
    <row r="197" ht="25" customHeight="1">
      <c r="A197" s="23" t="inlineStr">
        <is>
          <t>Исходная программа ТЗПД ↗</t>
        </is>
      </c>
      <c r="D197" s="23" t="inlineStr">
        <is>
          <t>Исходный УТП ТЗПД ↗</t>
        </is>
      </c>
    </row>
    <row r="198" ht="27" customHeight="1">
      <c r="A198" s="24">
        <f>HYPERLINK("#'Выбор тем'!E"&amp;MATCH("T-EB32702A",'Выбор тем'!$A:$A,0),"← Вернуться к теме")</f>
        <v/>
      </c>
    </row>
    <row r="200" ht="38" customHeight="1">
      <c r="A200" s="18" t="inlineStr">
        <is>
          <t>Атаки на LLM</t>
        </is>
      </c>
      <c r="B200" s="19" t="n"/>
      <c r="C200" s="19" t="n"/>
      <c r="D200" s="19" t="n"/>
      <c r="E200" s="19" t="n"/>
      <c r="F200" s="19" t="n"/>
      <c r="G200" s="19" t="n"/>
    </row>
    <row r="201" ht="26" customHeight="1">
      <c r="A201" s="3" t="inlineStr">
        <is>
          <t>T-C853E85D · Программы: ПТИИМ</t>
        </is>
      </c>
      <c r="B201" s="4" t="n"/>
      <c r="C201" s="4" t="n"/>
      <c r="D201" s="4" t="n"/>
      <c r="E201" s="4" t="n"/>
      <c r="F201" s="4" t="n"/>
      <c r="G201" s="4" t="n"/>
    </row>
    <row r="202" ht="27" customHeight="1">
      <c r="A202" s="20" t="inlineStr">
        <is>
          <t>Вариант для: ПТИИМ</t>
        </is>
      </c>
      <c r="B202" s="21" t="n"/>
      <c r="C202" s="21" t="n"/>
      <c r="D202" s="21" t="n"/>
      <c r="E202" s="21" t="n"/>
      <c r="F202" s="21" t="n"/>
      <c r="G202" s="21" t="n"/>
    </row>
    <row r="203" ht="48" customHeight="1">
      <c r="A203" s="22" t="inlineStr">
        <is>
          <t>Основные виды атак на системы, функционирующие на основе больших языковых моделей. Цели злоумышленника и возможные последствия нарушения установленных правил работы модели.</t>
        </is>
      </c>
      <c r="B203" s="2" t="n"/>
      <c r="C203" s="2" t="n"/>
      <c r="D203" s="2" t="n"/>
      <c r="E203" s="2" t="n"/>
      <c r="F203" s="2" t="n"/>
      <c r="G203" s="2" t="n"/>
    </row>
    <row r="204" ht="48" customHeight="1">
      <c r="A204" s="22" t="inlineStr">
        <is>
          <t>Атаки типа prompt injection: внедрение в запрос инструкций, направленных на изменение заданного поведения модели, обход ограничений или получение защищаемой информации.</t>
        </is>
      </c>
      <c r="B204" s="2" t="n"/>
      <c r="C204" s="2" t="n"/>
      <c r="D204" s="2" t="n"/>
      <c r="E204" s="2" t="n"/>
      <c r="F204" s="2" t="n"/>
      <c r="G204" s="2" t="n"/>
    </row>
    <row r="205" ht="32" customHeight="1">
      <c r="A205" s="22" t="inlineStr">
        <is>
          <t>Прямые и косвенные способы внедрения вредоносных инструкций. Анализ источников поступления потенциально опасного содержимого.</t>
        </is>
      </c>
      <c r="B205" s="2" t="n"/>
      <c r="C205" s="2" t="n"/>
      <c r="D205" s="2" t="n"/>
      <c r="E205" s="2" t="n"/>
      <c r="F205" s="2" t="n"/>
      <c r="G205" s="2" t="n"/>
    </row>
    <row r="206" ht="32" customHeight="1">
      <c r="A206" s="22" t="inlineStr">
        <is>
          <t>Практическое моделирование атак на языковую модель и исследование реакции системы на специально сформированные запросы.</t>
        </is>
      </c>
      <c r="B206" s="2" t="n"/>
      <c r="C206" s="2" t="n"/>
      <c r="D206" s="2" t="n"/>
      <c r="E206" s="2" t="n"/>
      <c r="F206" s="2" t="n"/>
      <c r="G206" s="2" t="n"/>
    </row>
    <row r="207" ht="32" customHeight="1">
      <c r="A207" s="22" t="inlineStr">
        <is>
          <t>Выявление признаков вредоносных запросов и оценка эффективности применяемых ограничений.</t>
        </is>
      </c>
      <c r="B207" s="2" t="n"/>
      <c r="C207" s="2" t="n"/>
      <c r="D207" s="2" t="n"/>
      <c r="E207" s="2" t="n"/>
      <c r="F207" s="2" t="n"/>
      <c r="G207" s="2" t="n"/>
    </row>
    <row r="208" ht="48" customHeight="1">
      <c r="A208" s="22" t="inlineStr">
        <is>
          <t>Разработка мер защиты LLM-систем: фильтрация запросов и ответов, изоляция системных инструкций, разграничение доступа к данным, проверка внешнего контента и применение защитных политик.</t>
        </is>
      </c>
      <c r="B208" s="2" t="n"/>
      <c r="C208" s="2" t="n"/>
      <c r="D208" s="2" t="n"/>
      <c r="E208" s="2" t="n"/>
      <c r="F208" s="2" t="n"/>
      <c r="G208" s="2" t="n"/>
    </row>
    <row r="209" ht="32" customHeight="1">
      <c r="A209" s="22" t="inlineStr">
        <is>
          <t>Тестирование разработанных мер защиты и анализ возможности их обхода.</t>
        </is>
      </c>
      <c r="B209" s="2" t="n"/>
      <c r="C209" s="2" t="n"/>
      <c r="D209" s="2" t="n"/>
      <c r="E209" s="2" t="n"/>
      <c r="F209" s="2" t="n"/>
      <c r="G209" s="2" t="n"/>
    </row>
    <row r="210" ht="51" customHeight="1">
      <c r="A210"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22</t>
        </is>
      </c>
      <c r="B210" s="4" t="n"/>
      <c r="C210" s="4" t="n"/>
      <c r="D210" s="4" t="n"/>
      <c r="E210" s="4" t="n"/>
      <c r="F210" s="4" t="n"/>
      <c r="G210" s="4" t="n"/>
    </row>
    <row r="211" ht="30" customHeight="1">
      <c r="A211" s="3" t="inlineStr">
        <is>
          <t>В программе: Тема 5. Атаки на LLM (4 часа практические занятия).</t>
        </is>
      </c>
      <c r="B211" s="4" t="n"/>
      <c r="C211" s="4" t="n"/>
      <c r="D211" s="4" t="n"/>
      <c r="E211" s="4" t="n"/>
      <c r="F211" s="4" t="n"/>
      <c r="G211" s="4" t="n"/>
    </row>
    <row r="212" ht="25" customHeight="1">
      <c r="A212" s="23" t="inlineStr">
        <is>
          <t>Исходная программа ПТИИМ ↗</t>
        </is>
      </c>
      <c r="D212" s="23" t="inlineStr">
        <is>
          <t>Исходный УТП ПТИИМ ↗</t>
        </is>
      </c>
    </row>
    <row r="213" ht="27" customHeight="1">
      <c r="A213" s="24">
        <f>HYPERLINK("#'Выбор тем'!E"&amp;MATCH("T-C853E85D",'Выбор тем'!$A:$A,0),"← Вернуться к теме")</f>
        <v/>
      </c>
    </row>
    <row r="215" ht="38" customHeight="1">
      <c r="A215" s="18" t="inlineStr">
        <is>
          <t>Аттестация систем защиты информации</t>
        </is>
      </c>
      <c r="B215" s="19" t="n"/>
      <c r="C215" s="19" t="n"/>
      <c r="D215" s="19" t="n"/>
      <c r="E215" s="19" t="n"/>
      <c r="F215" s="19" t="n"/>
      <c r="G215" s="19" t="n"/>
    </row>
    <row r="216" ht="26" customHeight="1">
      <c r="A216" s="3" t="inlineStr">
        <is>
          <t>T-49C7CCD3 · Программы: БКТ, ЗИКС</t>
        </is>
      </c>
      <c r="B216" s="4" t="n"/>
      <c r="C216" s="4" t="n"/>
      <c r="D216" s="4" t="n"/>
      <c r="E216" s="4" t="n"/>
      <c r="F216" s="4" t="n"/>
      <c r="G216" s="4" t="n"/>
    </row>
    <row r="217" ht="27" customHeight="1">
      <c r="A217" s="20" t="inlineStr">
        <is>
          <t>Вариант для: БКТ</t>
        </is>
      </c>
      <c r="B217" s="21" t="n"/>
      <c r="C217" s="21" t="n"/>
      <c r="D217" s="21" t="n"/>
      <c r="E217" s="21" t="n"/>
      <c r="F217" s="21" t="n"/>
      <c r="G217" s="21" t="n"/>
    </row>
    <row r="218" ht="96" customHeight="1">
      <c r="A218"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Оформление технического отчета и протокола испытаний. Оформление аттестата соответствия.</t>
        </is>
      </c>
      <c r="B218" s="2" t="n"/>
      <c r="C218" s="2" t="n"/>
      <c r="D218" s="2" t="n"/>
      <c r="E218" s="2" t="n"/>
      <c r="F218" s="2" t="n"/>
      <c r="G218" s="2" t="n"/>
    </row>
    <row r="219" ht="51" customHeight="1">
      <c r="A219" s="3" t="inlineStr">
        <is>
          <t>БКТ — Безопасность компьютерных технологий
Раздел: Методологические основы обеспечения кибербезопасности · УТП: таблица 2, строка 13</t>
        </is>
      </c>
      <c r="B219" s="4" t="n"/>
      <c r="C219" s="4" t="n"/>
      <c r="D219" s="4" t="n"/>
      <c r="E219" s="4" t="n"/>
      <c r="F219" s="4" t="n"/>
      <c r="G219" s="4" t="n"/>
    </row>
    <row r="220" ht="30" customHeight="1">
      <c r="A220" s="3" t="inlineStr">
        <is>
          <t>В программе: Тема 3. Аттестация систем защиты информации (4 часа лекции).</t>
        </is>
      </c>
      <c r="B220" s="4" t="n"/>
      <c r="C220" s="4" t="n"/>
      <c r="D220" s="4" t="n"/>
      <c r="E220" s="4" t="n"/>
      <c r="F220" s="4" t="n"/>
      <c r="G220" s="4" t="n"/>
    </row>
    <row r="221" ht="25" customHeight="1">
      <c r="A221" s="23" t="inlineStr">
        <is>
          <t>Исходная программа БКТ ↗</t>
        </is>
      </c>
      <c r="D221" s="23" t="inlineStr">
        <is>
          <t>Исходный УТП БКТ ↗</t>
        </is>
      </c>
    </row>
    <row r="222" ht="27" customHeight="1">
      <c r="A222" s="20" t="inlineStr">
        <is>
          <t>Вариант для: ЗИКС</t>
        </is>
      </c>
      <c r="B222" s="21" t="n"/>
      <c r="C222" s="21" t="n"/>
      <c r="D222" s="21" t="n"/>
      <c r="E222" s="21" t="n"/>
      <c r="F222" s="21" t="n"/>
      <c r="G222" s="21" t="n"/>
    </row>
    <row r="223" ht="112" customHeight="1">
      <c r="A223"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в том числе: 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 проведение испытаний системы</t>
        </is>
      </c>
      <c r="B223" s="2" t="n"/>
      <c r="C223" s="2" t="n"/>
      <c r="D223" s="2" t="n"/>
      <c r="E223" s="2" t="n"/>
      <c r="F223" s="2" t="n"/>
      <c r="G223" s="2" t="n"/>
    </row>
    <row r="224" ht="96" customHeight="1">
      <c r="A224" s="22" t="inlineStr">
        <is>
          <t>защиты информации на предмет выполнения установленных законодательством требований по защите информации; 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 оценка эффективности защищенности информационной системы классов «3-бг» и (или) «3-дсп» (тестирование на проникновение). Оформление технического отчета и протокола испытаний. Оформление аттестата соответствия.</t>
        </is>
      </c>
      <c r="B224" s="2" t="n"/>
      <c r="C224" s="2" t="n"/>
      <c r="D224" s="2" t="n"/>
      <c r="E224" s="2" t="n"/>
      <c r="F224" s="2" t="n"/>
      <c r="G224" s="2" t="n"/>
    </row>
    <row r="225" ht="51" customHeight="1">
      <c r="A225" s="3" t="inlineStr">
        <is>
          <t>ЗИКС — Защита информации в корпоративных системах
Раздел: Проектирование, создание и аттестация систем защиты информации. · УТП: таблица 2, строка 12</t>
        </is>
      </c>
      <c r="B225" s="4" t="n"/>
      <c r="C225" s="4" t="n"/>
      <c r="D225" s="4" t="n"/>
      <c r="E225" s="4" t="n"/>
      <c r="F225" s="4" t="n"/>
      <c r="G225" s="4" t="n"/>
    </row>
    <row r="226" ht="30" customHeight="1">
      <c r="A226" s="3" t="inlineStr">
        <is>
          <t>В программе: Тема 4. Аттестация систем защиты информации (2 часа лекции, 2 часа круглый стол).</t>
        </is>
      </c>
      <c r="B226" s="4" t="n"/>
      <c r="C226" s="4" t="n"/>
      <c r="D226" s="4" t="n"/>
      <c r="E226" s="4" t="n"/>
      <c r="F226" s="4" t="n"/>
      <c r="G226" s="4" t="n"/>
    </row>
    <row r="227" ht="25" customHeight="1">
      <c r="A227" s="23" t="inlineStr">
        <is>
          <t>Исходная программа ЗИКС ↗</t>
        </is>
      </c>
      <c r="D227" s="23" t="inlineStr">
        <is>
          <t>Исходный УТП ЗИКС ↗</t>
        </is>
      </c>
    </row>
    <row r="228" ht="27" customHeight="1">
      <c r="A228" s="24">
        <f>HYPERLINK("#'Выбор тем'!E"&amp;MATCH("T-49C7CCD3",'Выбор тем'!$A:$A,0),"← Вернуться к теме")</f>
        <v/>
      </c>
    </row>
    <row r="230" ht="38" customHeight="1">
      <c r="A230" s="18" t="inlineStr">
        <is>
          <t>Аудит безопасности</t>
        </is>
      </c>
      <c r="B230" s="19" t="n"/>
      <c r="C230" s="19" t="n"/>
      <c r="D230" s="19" t="n"/>
      <c r="E230" s="19" t="n"/>
      <c r="F230" s="19" t="n"/>
      <c r="G230" s="19" t="n"/>
    </row>
    <row r="231" ht="26" customHeight="1">
      <c r="A231" s="3" t="inlineStr">
        <is>
          <t>T-3417D5FF · Программы: ПСАЭ</t>
        </is>
      </c>
      <c r="B231" s="4" t="n"/>
      <c r="C231" s="4" t="n"/>
      <c r="D231" s="4" t="n"/>
      <c r="E231" s="4" t="n"/>
      <c r="F231" s="4" t="n"/>
      <c r="G231" s="4" t="n"/>
    </row>
    <row r="232" ht="27" customHeight="1">
      <c r="A232" s="20" t="inlineStr">
        <is>
          <t>Вариант для: ПСАЭ</t>
        </is>
      </c>
      <c r="B232" s="21" t="n"/>
      <c r="C232" s="21" t="n"/>
      <c r="D232" s="21" t="n"/>
      <c r="E232" s="21" t="n"/>
      <c r="F232" s="21" t="n"/>
      <c r="G232" s="21" t="n"/>
    </row>
    <row r="233" ht="48" customHeight="1">
      <c r="A233" s="22" t="inlineStr">
        <is>
          <t>Определение и назначения аудита безопасности. События информационной безопасности в информационных системах. Классификация журналов аудита. Методика и программные средства для анализа журналов аудита. Настройка параметров безопасности в информационных системах. Анализ журналов аудита.</t>
        </is>
      </c>
      <c r="B233" s="2" t="n"/>
      <c r="C233" s="2" t="n"/>
      <c r="D233" s="2" t="n"/>
      <c r="E233" s="2" t="n"/>
      <c r="F233" s="2" t="n"/>
      <c r="G233" s="2" t="n"/>
    </row>
    <row r="234" ht="51" customHeight="1">
      <c r="A234"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22</t>
        </is>
      </c>
      <c r="B234" s="4" t="n"/>
      <c r="C234" s="4" t="n"/>
      <c r="D234" s="4" t="n"/>
      <c r="E234" s="4" t="n"/>
      <c r="F234" s="4" t="n"/>
      <c r="G234" s="4" t="n"/>
    </row>
    <row r="235" ht="30" customHeight="1">
      <c r="A235" s="3" t="inlineStr">
        <is>
          <t>В программе: Тема 6. Аудит безопасности (4 часа лекции).</t>
        </is>
      </c>
      <c r="B235" s="4" t="n"/>
      <c r="C235" s="4" t="n"/>
      <c r="D235" s="4" t="n"/>
      <c r="E235" s="4" t="n"/>
      <c r="F235" s="4" t="n"/>
      <c r="G235" s="4" t="n"/>
    </row>
    <row r="236" ht="25" customHeight="1">
      <c r="A236" s="23" t="inlineStr">
        <is>
          <t>Исходная программа ПСАЭ ↗</t>
        </is>
      </c>
      <c r="D236" s="23" t="inlineStr">
        <is>
          <t>Исходный УТП ПСАЭ ↗</t>
        </is>
      </c>
    </row>
    <row r="237" ht="27" customHeight="1">
      <c r="A237" s="24">
        <f>HYPERLINK("#'Выбор тем'!E"&amp;MATCH("T-3417D5FF",'Выбор тем'!$A:$A,0),"← Вернуться к теме")</f>
        <v/>
      </c>
    </row>
    <row r="239" ht="38" customHeight="1">
      <c r="A239" s="18" t="inlineStr">
        <is>
          <t>Аудит кибербезопасности</t>
        </is>
      </c>
      <c r="B239" s="19" t="n"/>
      <c r="C239" s="19" t="n"/>
      <c r="D239" s="19" t="n"/>
      <c r="E239" s="19" t="n"/>
      <c r="F239" s="19" t="n"/>
      <c r="G239" s="19" t="n"/>
    </row>
    <row r="240" ht="26" customHeight="1">
      <c r="A240" s="3" t="inlineStr">
        <is>
          <t>T-A5B00DD0 · Программы: КВОИ</t>
        </is>
      </c>
      <c r="B240" s="4" t="n"/>
      <c r="C240" s="4" t="n"/>
      <c r="D240" s="4" t="n"/>
      <c r="E240" s="4" t="n"/>
      <c r="F240" s="4" t="n"/>
      <c r="G240" s="4" t="n"/>
    </row>
    <row r="241" ht="27" customHeight="1">
      <c r="A241" s="20" t="inlineStr">
        <is>
          <t>Вариант для: КВОИ</t>
        </is>
      </c>
      <c r="B241" s="21" t="n"/>
      <c r="C241" s="21" t="n"/>
      <c r="D241" s="21" t="n"/>
      <c r="E241" s="21" t="n"/>
      <c r="F241" s="21" t="n"/>
      <c r="G241" s="21" t="n"/>
    </row>
    <row r="242" ht="48" customHeight="1">
      <c r="A242" s="22" t="inlineStr">
        <is>
          <t>Проверка выполнения требований законодательства в сфере защиты информации и кибербезопасности. Инвентаризация активов, анализ имеющихся локальных правовых актов на соответствие требованиям по кибербезопасности, включая вопросы технической и криптографической защиты информации.</t>
        </is>
      </c>
      <c r="B242" s="2" t="n"/>
      <c r="C242" s="2" t="n"/>
      <c r="D242" s="2" t="n"/>
      <c r="E242" s="2" t="n"/>
      <c r="F242" s="2" t="n"/>
      <c r="G242" s="2" t="n"/>
    </row>
    <row r="243" ht="32" customHeight="1">
      <c r="A243" s="22" t="inlineStr">
        <is>
          <t>Вопросы тематической дискуссии:</t>
        </is>
      </c>
      <c r="B243" s="2" t="n"/>
      <c r="C243" s="2" t="n"/>
      <c r="D243" s="2" t="n"/>
      <c r="E243" s="2" t="n"/>
      <c r="F243" s="2" t="n"/>
      <c r="G243" s="2" t="n"/>
    </row>
    <row r="244" ht="32" customHeight="1">
      <c r="A244" s="22" t="inlineStr">
        <is>
          <t>Особенности комплексной оценки соответствия процессов кибербезопасности требованиям законодательства и локальным правовым актам организации.</t>
        </is>
      </c>
      <c r="B244" s="2" t="n"/>
      <c r="C244" s="2" t="n"/>
      <c r="D244" s="2" t="n"/>
      <c r="E244" s="2" t="n"/>
      <c r="F244" s="2" t="n"/>
      <c r="G244" s="2" t="n"/>
    </row>
    <row r="245" ht="32" customHeight="1">
      <c r="A245" s="22" t="inlineStr">
        <is>
          <t>Риски неполной инвентаризации активов при определении фактического состояния системы защиты информации.</t>
        </is>
      </c>
      <c r="B245" s="2" t="n"/>
      <c r="C245" s="2" t="n"/>
      <c r="D245" s="2" t="n"/>
      <c r="E245" s="2" t="n"/>
      <c r="F245" s="2" t="n"/>
      <c r="G245" s="2" t="n"/>
    </row>
    <row r="246" ht="48" customHeight="1">
      <c r="A246" s="22" t="inlineStr">
        <is>
          <t>Практические аспекты выявления несоответствий в области технической и криптографической защиты информации и определения приоритетов их устранения.</t>
        </is>
      </c>
      <c r="B246" s="2" t="n"/>
      <c r="C246" s="2" t="n"/>
      <c r="D246" s="2" t="n"/>
      <c r="E246" s="2" t="n"/>
      <c r="F246" s="2" t="n"/>
      <c r="G246" s="2" t="n"/>
    </row>
    <row r="247" ht="51" customHeight="1">
      <c r="A247"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11</t>
        </is>
      </c>
      <c r="B247" s="4" t="n"/>
      <c r="C247" s="4" t="n"/>
      <c r="D247" s="4" t="n"/>
      <c r="E247" s="4" t="n"/>
      <c r="F247" s="4" t="n"/>
      <c r="G247" s="4" t="n"/>
    </row>
    <row r="248" ht="30" customHeight="1">
      <c r="A248" s="3" t="inlineStr">
        <is>
          <t>В программе: Тема 3. Аудит кибербезопасности (1 час лекции, 1 час тематическая дискуссия).</t>
        </is>
      </c>
      <c r="B248" s="4" t="n"/>
      <c r="C248" s="4" t="n"/>
      <c r="D248" s="4" t="n"/>
      <c r="E248" s="4" t="n"/>
      <c r="F248" s="4" t="n"/>
      <c r="G248" s="4" t="n"/>
    </row>
    <row r="249" ht="25" customHeight="1">
      <c r="A249" s="23" t="inlineStr">
        <is>
          <t>Исходная программа КВОИ ↗</t>
        </is>
      </c>
      <c r="D249" s="23" t="inlineStr">
        <is>
          <t>Исходный УТП КВОИ ↗</t>
        </is>
      </c>
    </row>
    <row r="250" ht="27" customHeight="1">
      <c r="A250" s="24">
        <f>HYPERLINK("#'Выбор тем'!E"&amp;MATCH("T-A5B00DD0",'Выбор тем'!$A:$A,0),"← Вернуться к теме")</f>
        <v/>
      </c>
    </row>
    <row r="252" ht="38" customHeight="1">
      <c r="A252" s="18" t="inlineStr">
        <is>
          <t>Аудит кибербезопасности. Аттестация систем защиты информации информационных систем</t>
        </is>
      </c>
      <c r="B252" s="19" t="n"/>
      <c r="C252" s="19" t="n"/>
      <c r="D252" s="19" t="n"/>
      <c r="E252" s="19" t="n"/>
      <c r="F252" s="19" t="n"/>
      <c r="G252" s="19" t="n"/>
    </row>
    <row r="253" ht="26" customHeight="1">
      <c r="A253" s="3" t="inlineStr">
        <is>
          <t>T-C6EB734F · Программы: ТЗПД</t>
        </is>
      </c>
      <c r="B253" s="4" t="n"/>
      <c r="C253" s="4" t="n"/>
      <c r="D253" s="4" t="n"/>
      <c r="E253" s="4" t="n"/>
      <c r="F253" s="4" t="n"/>
      <c r="G253" s="4" t="n"/>
    </row>
    <row r="254" ht="27" customHeight="1">
      <c r="A254" s="20" t="inlineStr">
        <is>
          <t>Вариант для: ТЗПД</t>
        </is>
      </c>
      <c r="B254" s="21" t="n"/>
      <c r="C254" s="21" t="n"/>
      <c r="D254" s="21" t="n"/>
      <c r="E254" s="21" t="n"/>
      <c r="F254" s="21" t="n"/>
      <c r="G254" s="21" t="n"/>
    </row>
    <row r="255" ht="48" customHeight="1">
      <c r="A255"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Проверка достаточности реализованных в системе защиты информации мер по защите информации.</t>
        </is>
      </c>
      <c r="B255" s="2" t="n"/>
      <c r="C255" s="2" t="n"/>
      <c r="D255" s="2" t="n"/>
      <c r="E255" s="2" t="n"/>
      <c r="F255" s="2" t="n"/>
      <c r="G255" s="2" t="n"/>
    </row>
    <row r="256" ht="48" customHeight="1">
      <c r="A256" s="22" t="inlineStr">
        <is>
          <t>Установление соответствия фактического состава активов информационной системы структурной и логической схемам информационной системы. Проверка правильности отнесения информационной системы к классу (классам) типовых информационных систем.</t>
        </is>
      </c>
      <c r="B256" s="2" t="n"/>
      <c r="C256" s="2" t="n"/>
      <c r="D256" s="2" t="n"/>
      <c r="E256" s="2" t="n"/>
      <c r="F256" s="2" t="n"/>
      <c r="G256" s="2" t="n"/>
    </row>
    <row r="257" ht="32" customHeight="1">
      <c r="A257" s="22" t="inlineStr">
        <is>
          <t>Вопросы тематической дискуссии:</t>
        </is>
      </c>
      <c r="B257" s="2" t="n"/>
      <c r="C257" s="2" t="n"/>
      <c r="D257" s="2" t="n"/>
      <c r="E257" s="2" t="n"/>
      <c r="F257" s="2" t="n"/>
      <c r="G257" s="2" t="n"/>
    </row>
    <row r="258" ht="32" customHeight="1">
      <c r="A258" s="22" t="inlineStr">
        <is>
          <t>Роль аудита кибербезопасности в подтверждении защищенности информационных систем.</t>
        </is>
      </c>
      <c r="B258" s="2" t="n"/>
      <c r="C258" s="2" t="n"/>
      <c r="D258" s="2" t="n"/>
      <c r="E258" s="2" t="n"/>
      <c r="F258" s="2" t="n"/>
      <c r="G258" s="2" t="n"/>
    </row>
    <row r="259" ht="32" customHeight="1">
      <c r="A259" s="22" t="inlineStr">
        <is>
          <t>Практические аспекты оценки соответствия системы защиты информации установленным требованиям.</t>
        </is>
      </c>
      <c r="B259" s="2" t="n"/>
      <c r="C259" s="2" t="n"/>
      <c r="D259" s="2" t="n"/>
      <c r="E259" s="2" t="n"/>
      <c r="F259" s="2" t="n"/>
      <c r="G259" s="2" t="n"/>
    </row>
    <row r="260" ht="32" customHeight="1">
      <c r="A260" s="22" t="inlineStr">
        <is>
          <t>Риски несоответствия фактической архитектуры информационной системы проектной и эксплуатационной документации.</t>
        </is>
      </c>
      <c r="B260" s="2" t="n"/>
      <c r="C260" s="2" t="n"/>
      <c r="D260" s="2" t="n"/>
      <c r="E260" s="2" t="n"/>
      <c r="F260" s="2" t="n"/>
      <c r="G260" s="2" t="n"/>
    </row>
    <row r="261" ht="51" customHeight="1">
      <c r="A261" s="3" t="inlineStr">
        <is>
          <t>ТЗПД — Техническая защита персональных данных
Раздел: Методологические основы обеспечения кибербезопасности · УТП: таблица 2, строка 12</t>
        </is>
      </c>
      <c r="B261" s="4" t="n"/>
      <c r="C261" s="4" t="n"/>
      <c r="D261" s="4" t="n"/>
      <c r="E261" s="4" t="n"/>
      <c r="F261" s="4" t="n"/>
      <c r="G261" s="4" t="n"/>
    </row>
    <row r="262" ht="30" customHeight="1">
      <c r="A262" s="3" t="inlineStr">
        <is>
          <t>В программе: Тема 2. Аудит кибербезопасности. Аттестация систем защиты информации информационных систем (1 час лекции, 1 час тематическая дискуссия).</t>
        </is>
      </c>
      <c r="B262" s="4" t="n"/>
      <c r="C262" s="4" t="n"/>
      <c r="D262" s="4" t="n"/>
      <c r="E262" s="4" t="n"/>
      <c r="F262" s="4" t="n"/>
      <c r="G262" s="4" t="n"/>
    </row>
    <row r="263" ht="25" customHeight="1">
      <c r="A263" s="23" t="inlineStr">
        <is>
          <t>Исходная программа ТЗПД ↗</t>
        </is>
      </c>
      <c r="D263" s="23" t="inlineStr">
        <is>
          <t>Исходный УТП ТЗПД ↗</t>
        </is>
      </c>
    </row>
    <row r="264" ht="27" customHeight="1">
      <c r="A264" s="24">
        <f>HYPERLINK("#'Выбор тем'!E"&amp;MATCH("T-C6EB734F",'Выбор тем'!$A:$A,0),"← Вернуться к теме")</f>
        <v/>
      </c>
    </row>
    <row r="266" ht="38" customHeight="1">
      <c r="A266" s="18" t="inlineStr">
        <is>
          <t>Аудит кибербезопасности в сфере здравоохранения. Аттестация систем защиты информации информационных систем</t>
        </is>
      </c>
      <c r="B266" s="19" t="n"/>
      <c r="C266" s="19" t="n"/>
      <c r="D266" s="19" t="n"/>
      <c r="E266" s="19" t="n"/>
      <c r="F266" s="19" t="n"/>
      <c r="G266" s="19" t="n"/>
    </row>
    <row r="267" ht="26" customHeight="1">
      <c r="A267" s="3" t="inlineStr">
        <is>
          <t>T-7D7AC022 · Программы: ЗИОЗ</t>
        </is>
      </c>
      <c r="B267" s="4" t="n"/>
      <c r="C267" s="4" t="n"/>
      <c r="D267" s="4" t="n"/>
      <c r="E267" s="4" t="n"/>
      <c r="F267" s="4" t="n"/>
      <c r="G267" s="4" t="n"/>
    </row>
    <row r="268" ht="27" customHeight="1">
      <c r="A268" s="20" t="inlineStr">
        <is>
          <t>Вариант для: ЗИОЗ</t>
        </is>
      </c>
      <c r="B268" s="21" t="n"/>
      <c r="C268" s="21" t="n"/>
      <c r="D268" s="21" t="n"/>
      <c r="E268" s="21" t="n"/>
      <c r="F268" s="21" t="n"/>
      <c r="G268" s="21" t="n"/>
    </row>
    <row r="269" ht="80" customHeight="1">
      <c r="A269"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Проверка достаточности реализованных в системе защиты информации мер по защите информации. Установление соответствия фактического состава активов информационной системы структурной и логической схемам информационной системы. Проверка правильности отнесения информационной системы к классу (классам) типовых информационных систем.</t>
        </is>
      </c>
      <c r="B269" s="2" t="n"/>
      <c r="C269" s="2" t="n"/>
      <c r="D269" s="2" t="n"/>
      <c r="E269" s="2" t="n"/>
      <c r="F269" s="2" t="n"/>
      <c r="G269" s="2" t="n"/>
    </row>
    <row r="270" ht="51" customHeight="1">
      <c r="A270"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11</t>
        </is>
      </c>
      <c r="B270" s="4" t="n"/>
      <c r="C270" s="4" t="n"/>
      <c r="D270" s="4" t="n"/>
      <c r="E270" s="4" t="n"/>
      <c r="F270" s="4" t="n"/>
      <c r="G270" s="4" t="n"/>
    </row>
    <row r="271" ht="30" customHeight="1">
      <c r="A271" s="3" t="inlineStr">
        <is>
          <t>В программе: Тема 3. Аудит кибербезопасности в сфере здравоохранения. Аттестация систем защиты информации информационных систем (2 часа лекции).</t>
        </is>
      </c>
      <c r="B271" s="4" t="n"/>
      <c r="C271" s="4" t="n"/>
      <c r="D271" s="4" t="n"/>
      <c r="E271" s="4" t="n"/>
      <c r="F271" s="4" t="n"/>
      <c r="G271" s="4" t="n"/>
    </row>
    <row r="272" ht="25" customHeight="1">
      <c r="A272" s="23" t="inlineStr">
        <is>
          <t>Исходная программа ЗИОЗ ↗</t>
        </is>
      </c>
      <c r="D272" s="23" t="inlineStr">
        <is>
          <t>Исходный УТП ЗИОЗ ↗</t>
        </is>
      </c>
    </row>
    <row r="273" ht="27" customHeight="1">
      <c r="A273" s="24">
        <f>HYPERLINK("#'Выбор тем'!E"&amp;MATCH("T-7D7AC022",'Выбор тем'!$A:$A,0),"← Вернуться к теме")</f>
        <v/>
      </c>
    </row>
    <row r="275" ht="38" customHeight="1">
      <c r="A275" s="18" t="inlineStr">
        <is>
          <t>Аудит системы информационной безопасности критически важного объекта информатизации</t>
        </is>
      </c>
      <c r="B275" s="19" t="n"/>
      <c r="C275" s="19" t="n"/>
      <c r="D275" s="19" t="n"/>
      <c r="E275" s="19" t="n"/>
      <c r="F275" s="19" t="n"/>
      <c r="G275" s="19" t="n"/>
    </row>
    <row r="276" ht="26" customHeight="1">
      <c r="A276" s="3" t="inlineStr">
        <is>
          <t>T-300F850C · Программы: КВОИ</t>
        </is>
      </c>
      <c r="B276" s="4" t="n"/>
      <c r="C276" s="4" t="n"/>
      <c r="D276" s="4" t="n"/>
      <c r="E276" s="4" t="n"/>
      <c r="F276" s="4" t="n"/>
      <c r="G276" s="4" t="n"/>
    </row>
    <row r="277" ht="27" customHeight="1">
      <c r="A277" s="20" t="inlineStr">
        <is>
          <t>Вариант для: КВОИ</t>
        </is>
      </c>
      <c r="B277" s="21" t="n"/>
      <c r="C277" s="21" t="n"/>
      <c r="D277" s="21" t="n"/>
      <c r="E277" s="21" t="n"/>
      <c r="F277" s="21" t="n"/>
      <c r="G277" s="21" t="n"/>
    </row>
    <row r="278" ht="80" customHeight="1">
      <c r="A278" s="22" t="inlineStr">
        <is>
          <t>Сроки проведения аудита. Анализ и оценка соответствия системы информационной безопасности требованиям. Проведение контроля эффективности защищенности системы информационной безопасности. Формирование замечаний (недостатков), выявленных в процессе аудита, и предложений по их устранению. Составление акта аудита (в соответствии с установленной формой) и порядок его предоставления в Оперативно‐аналитический центр при Президенте Республики Беларусь.</t>
        </is>
      </c>
      <c r="B278" s="2" t="n"/>
      <c r="C278" s="2" t="n"/>
      <c r="D278" s="2" t="n"/>
      <c r="E278" s="2" t="n"/>
      <c r="F278" s="2" t="n"/>
      <c r="G278" s="2" t="n"/>
    </row>
    <row r="279" ht="32" customHeight="1">
      <c r="A279" s="22" t="inlineStr">
        <is>
          <t>Вопросы тематической дискуссии:</t>
        </is>
      </c>
      <c r="B279" s="2" t="n"/>
      <c r="C279" s="2" t="n"/>
      <c r="D279" s="2" t="n"/>
      <c r="E279" s="2" t="n"/>
      <c r="F279" s="2" t="n"/>
      <c r="G279" s="2" t="n"/>
    </row>
    <row r="280" ht="32" customHeight="1">
      <c r="A280" s="22" t="inlineStr">
        <is>
          <t>Особенности применения риск-ориентированного подхода при планировании аудита системы информационной безопасности КВОИ.</t>
        </is>
      </c>
      <c r="B280" s="2" t="n"/>
      <c r="C280" s="2" t="n"/>
      <c r="D280" s="2" t="n"/>
      <c r="E280" s="2" t="n"/>
      <c r="F280" s="2" t="n"/>
      <c r="G280" s="2" t="n"/>
    </row>
    <row r="281" ht="32" customHeight="1">
      <c r="A281" s="22" t="inlineStr">
        <is>
          <t>Роль объективных доказательств и критериев существенности при обосновании выводов по результатам аудита.</t>
        </is>
      </c>
      <c r="B281" s="2" t="n"/>
      <c r="C281" s="2" t="n"/>
      <c r="D281" s="2" t="n"/>
      <c r="E281" s="2" t="n"/>
      <c r="F281" s="2" t="n"/>
      <c r="G281" s="2" t="n"/>
    </row>
    <row r="282" ht="32" customHeight="1">
      <c r="A282" s="22" t="inlineStr">
        <is>
          <t>Ограничения проведения аудита в условиях непрерывного функционирования критически важных информационных процессов.</t>
        </is>
      </c>
      <c r="B282" s="2" t="n"/>
      <c r="C282" s="2" t="n"/>
      <c r="D282" s="2" t="n"/>
      <c r="E282" s="2" t="n"/>
      <c r="F282" s="2" t="n"/>
      <c r="G282" s="2" t="n"/>
    </row>
    <row r="283" ht="32" customHeight="1">
      <c r="A283" s="22" t="inlineStr">
        <is>
          <t>Риски формального подхода к оценке защищенности и их влияние на достоверность результатов аудита.</t>
        </is>
      </c>
      <c r="B283" s="2" t="n"/>
      <c r="C283" s="2" t="n"/>
      <c r="D283" s="2" t="n"/>
      <c r="E283" s="2" t="n"/>
      <c r="F283" s="2" t="n"/>
      <c r="G283" s="2" t="n"/>
    </row>
    <row r="284" ht="32" customHeight="1">
      <c r="A284" s="22" t="inlineStr">
        <is>
          <t>Практические аспекты согласования замечаний и предложений по их устранению с ответственными подразделениями организации.</t>
        </is>
      </c>
      <c r="B284" s="2" t="n"/>
      <c r="C284" s="2" t="n"/>
      <c r="D284" s="2" t="n"/>
      <c r="E284" s="2" t="n"/>
      <c r="F284" s="2" t="n"/>
      <c r="G284" s="2" t="n"/>
    </row>
    <row r="285" ht="32" customHeight="1">
      <c r="A285" s="22" t="inlineStr">
        <is>
          <t>Порядок обеспечения полноты, проверяемости и юридической значимости материалов, включаемых в акт аудита.</t>
        </is>
      </c>
      <c r="B285" s="2" t="n"/>
      <c r="C285" s="2" t="n"/>
      <c r="D285" s="2" t="n"/>
      <c r="E285" s="2" t="n"/>
      <c r="F285" s="2" t="n"/>
      <c r="G285" s="2" t="n"/>
    </row>
    <row r="286" ht="51" customHeight="1">
      <c r="A286"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16</t>
        </is>
      </c>
      <c r="B286" s="4" t="n"/>
      <c r="C286" s="4" t="n"/>
      <c r="D286" s="4" t="n"/>
      <c r="E286" s="4" t="n"/>
      <c r="F286" s="4" t="n"/>
      <c r="G286" s="4" t="n"/>
    </row>
    <row r="287" ht="30" customHeight="1">
      <c r="A287" s="3" t="inlineStr">
        <is>
          <t>В программе: Тема 4. Аудит системы информационной безопасности критически важного объекта информатизации (3 часа лекции, 1 час тематическая дискуссия).</t>
        </is>
      </c>
      <c r="B287" s="4" t="n"/>
      <c r="C287" s="4" t="n"/>
      <c r="D287" s="4" t="n"/>
      <c r="E287" s="4" t="n"/>
      <c r="F287" s="4" t="n"/>
      <c r="G287" s="4" t="n"/>
    </row>
    <row r="288" ht="25" customHeight="1">
      <c r="A288" s="23" t="inlineStr">
        <is>
          <t>Исходная программа КВОИ ↗</t>
        </is>
      </c>
      <c r="D288" s="23" t="inlineStr">
        <is>
          <t>Исходный УТП КВОИ ↗</t>
        </is>
      </c>
    </row>
    <row r="289" ht="27" customHeight="1">
      <c r="A289" s="24">
        <f>HYPERLINK("#'Выбор тем'!E"&amp;MATCH("T-300F850C",'Выбор тем'!$A:$A,0),"← Вернуться к теме")</f>
        <v/>
      </c>
    </row>
    <row r="291" ht="38" customHeight="1">
      <c r="A291" s="18" t="inlineStr">
        <is>
          <t>Аутентификация: пароли, токены, биометрия, MFA</t>
        </is>
      </c>
      <c r="B291" s="19" t="n"/>
      <c r="C291" s="19" t="n"/>
      <c r="D291" s="19" t="n"/>
      <c r="E291" s="19" t="n"/>
      <c r="F291" s="19" t="n"/>
      <c r="G291" s="19" t="n"/>
    </row>
    <row r="292" ht="26" customHeight="1">
      <c r="A292" s="3" t="inlineStr">
        <is>
          <t>T-0F7D0DE5 · Программы: ОКБО</t>
        </is>
      </c>
      <c r="B292" s="4" t="n"/>
      <c r="C292" s="4" t="n"/>
      <c r="D292" s="4" t="n"/>
      <c r="E292" s="4" t="n"/>
      <c r="F292" s="4" t="n"/>
      <c r="G292" s="4" t="n"/>
    </row>
    <row r="293" ht="27" customHeight="1">
      <c r="A293" s="20" t="inlineStr">
        <is>
          <t>Вариант для: ОКБО</t>
        </is>
      </c>
      <c r="B293" s="21" t="n"/>
      <c r="C293" s="21" t="n"/>
      <c r="D293" s="21" t="n"/>
      <c r="E293" s="21" t="n"/>
      <c r="F293" s="21" t="n"/>
      <c r="G293" s="21" t="n"/>
    </row>
    <row r="294" ht="48" customHeight="1">
      <c r="A294" s="22" t="inlineStr">
        <is>
          <t>Понятие аутентификации и её место в процессе контроля доступа. Обзор основных классов факторов аутентификации (пароль, токены, биометрия). Основные преимущества и недостатки конкретных методов, их сравнение. Понятие многофакторной аутентификации, её варианты и сценарии использования.</t>
        </is>
      </c>
      <c r="B294" s="2" t="n"/>
      <c r="C294" s="2" t="n"/>
      <c r="D294" s="2" t="n"/>
      <c r="E294" s="2" t="n"/>
      <c r="F294" s="2" t="n"/>
      <c r="G294" s="2" t="n"/>
    </row>
    <row r="295" ht="51" customHeight="1">
      <c r="A295" s="3" t="inlineStr">
        <is>
          <t>ОКБО — Обеспечение кибербезопасности организаций
Раздел: Управление доступом и аутентификация · УТП: таблица 2, строка 24</t>
        </is>
      </c>
      <c r="B295" s="4" t="n"/>
      <c r="C295" s="4" t="n"/>
      <c r="D295" s="4" t="n"/>
      <c r="E295" s="4" t="n"/>
      <c r="F295" s="4" t="n"/>
      <c r="G295" s="4" t="n"/>
    </row>
    <row r="296" ht="30" customHeight="1">
      <c r="A296" s="3" t="inlineStr">
        <is>
          <t>В программе: Тема 2. Аутентификация: пароли, токены, биометрия, MFA (1 час лекции).</t>
        </is>
      </c>
      <c r="B296" s="4" t="n"/>
      <c r="C296" s="4" t="n"/>
      <c r="D296" s="4" t="n"/>
      <c r="E296" s="4" t="n"/>
      <c r="F296" s="4" t="n"/>
      <c r="G296" s="4" t="n"/>
    </row>
    <row r="297" ht="25" customHeight="1">
      <c r="A297" s="23" t="inlineStr">
        <is>
          <t>Исходная программа ОКБО ↗</t>
        </is>
      </c>
      <c r="D297" s="23" t="inlineStr">
        <is>
          <t>Исходный УТП ОКБО ↗</t>
        </is>
      </c>
    </row>
    <row r="298" ht="27" customHeight="1">
      <c r="A298" s="24">
        <f>HYPERLINK("#'Выбор тем'!E"&amp;MATCH("T-0F7D0DE5",'Выбор тем'!$A:$A,0),"← Вернуться к теме")</f>
        <v/>
      </c>
    </row>
    <row r="300" ht="38" customHeight="1">
      <c r="A300" s="18" t="inlineStr">
        <is>
          <t>Базовая конфигурация Sandbox: загрузка и анализ образца вредоносного документа, демонстрация вредоноса</t>
        </is>
      </c>
      <c r="B300" s="19" t="n"/>
      <c r="C300" s="19" t="n"/>
      <c r="D300" s="19" t="n"/>
      <c r="E300" s="19" t="n"/>
      <c r="F300" s="19" t="n"/>
      <c r="G300" s="19" t="n"/>
    </row>
    <row r="301" ht="26" customHeight="1">
      <c r="A301" s="3" t="inlineStr">
        <is>
          <t>T-7CAA0DEF · Программы: ОКБО</t>
        </is>
      </c>
      <c r="B301" s="4" t="n"/>
      <c r="C301" s="4" t="n"/>
      <c r="D301" s="4" t="n"/>
      <c r="E301" s="4" t="n"/>
      <c r="F301" s="4" t="n"/>
      <c r="G301" s="4" t="n"/>
    </row>
    <row r="302" ht="27" customHeight="1">
      <c r="A302" s="20" t="inlineStr">
        <is>
          <t>Вариант для: ОКБО</t>
        </is>
      </c>
      <c r="B302" s="21" t="n"/>
      <c r="C302" s="21" t="n"/>
      <c r="D302" s="21" t="n"/>
      <c r="E302" s="21" t="n"/>
      <c r="F302" s="21" t="n"/>
      <c r="G302" s="21" t="n"/>
    </row>
    <row r="303" ht="48" customHeight="1">
      <c r="A303" s="22" t="inlineStr">
        <is>
          <t>Обзор конкретного решения Sandbox. Способы его развёртывания. Знакомство с интерфейсом. Обзор средств статического и динамического анализа. Запуск исследования образца. Разбор отчёта по проведённому исследованию (запущенные процесс, сетевые соединения, MITRE ATT&amp;CK).</t>
        </is>
      </c>
      <c r="B303" s="2" t="n"/>
      <c r="C303" s="2" t="n"/>
      <c r="D303" s="2" t="n"/>
      <c r="E303" s="2" t="n"/>
      <c r="F303" s="2" t="n"/>
      <c r="G303" s="2" t="n"/>
    </row>
    <row r="304" ht="51" customHeight="1">
      <c r="A304" s="3" t="inlineStr">
        <is>
          <t>ОКБО — Обеспечение кибербезопасности организаций
Раздел: Отработка практических заданий на базе киберполигона · УТП: таблица 2, строка 46</t>
        </is>
      </c>
      <c r="B304" s="4" t="n"/>
      <c r="C304" s="4" t="n"/>
      <c r="D304" s="4" t="n"/>
      <c r="E304" s="4" t="n"/>
      <c r="F304" s="4" t="n"/>
      <c r="G304" s="4" t="n"/>
    </row>
    <row r="305" ht="30" customHeight="1">
      <c r="A305" s="3" t="inlineStr">
        <is>
          <t>В программе: Тема 3. Базовая конфигурация Sandbox: загрузка и анализ образца вредоносного документа, демонстрация вредоноса (3 часа практические занятия).</t>
        </is>
      </c>
      <c r="B305" s="4" t="n"/>
      <c r="C305" s="4" t="n"/>
      <c r="D305" s="4" t="n"/>
      <c r="E305" s="4" t="n"/>
      <c r="F305" s="4" t="n"/>
      <c r="G305" s="4" t="n"/>
    </row>
    <row r="306" ht="25" customHeight="1">
      <c r="A306" s="23" t="inlineStr">
        <is>
          <t>Исходная программа ОКБО ↗</t>
        </is>
      </c>
      <c r="D306" s="23" t="inlineStr">
        <is>
          <t>Исходный УТП ОКБО ↗</t>
        </is>
      </c>
    </row>
    <row r="307" ht="27" customHeight="1">
      <c r="A307" s="24">
        <f>HYPERLINK("#'Выбор тем'!E"&amp;MATCH("T-7CAA0DEF",'Выбор тем'!$A:$A,0),"← Вернуться к теме")</f>
        <v/>
      </c>
    </row>
    <row r="309" ht="38" customHeight="1">
      <c r="A309" s="18" t="inlineStr">
        <is>
          <t>Безопасность веб-приложений</t>
        </is>
      </c>
      <c r="B309" s="19" t="n"/>
      <c r="C309" s="19" t="n"/>
      <c r="D309" s="19" t="n"/>
      <c r="E309" s="19" t="n"/>
      <c r="F309" s="19" t="n"/>
      <c r="G309" s="19" t="n"/>
    </row>
    <row r="310" ht="26" customHeight="1">
      <c r="A310" s="3" t="inlineStr">
        <is>
          <t>T-FCD91ADA · Программы: БКТ</t>
        </is>
      </c>
      <c r="B310" s="4" t="n"/>
      <c r="C310" s="4" t="n"/>
      <c r="D310" s="4" t="n"/>
      <c r="E310" s="4" t="n"/>
      <c r="F310" s="4" t="n"/>
      <c r="G310" s="4" t="n"/>
    </row>
    <row r="311" ht="27" customHeight="1">
      <c r="A311" s="20" t="inlineStr">
        <is>
          <t>Вариант для: БКТ</t>
        </is>
      </c>
      <c r="B311" s="21" t="n"/>
      <c r="C311" s="21" t="n"/>
      <c r="D311" s="21" t="n"/>
      <c r="E311" s="21" t="n"/>
      <c r="F311" s="21" t="n"/>
      <c r="G311" s="21" t="n"/>
    </row>
    <row r="312" ht="64" customHeight="1">
      <c r="A312" s="22" t="inlineStr">
        <is>
          <t>Протокол HTTP и его версии, архитектура и компоненты приложений. Методология и виды тестирования веб-приложений. Инструменты для тестирования веб-приложений. Уязвимости веб-приложений. Актуальные атаки на WEB-приложения. Способы защиты от атак на веб-приложения, подходы и примеры реализации минимизации рисков. Инструменты защиты от атак на WEB-приложения, подходы и примеры реализации минимизации рисков.</t>
        </is>
      </c>
      <c r="B312" s="2" t="n"/>
      <c r="C312" s="2" t="n"/>
      <c r="D312" s="2" t="n"/>
      <c r="E312" s="2" t="n"/>
      <c r="F312" s="2" t="n"/>
      <c r="G312" s="2" t="n"/>
    </row>
    <row r="313" ht="32" customHeight="1">
      <c r="A313" s="22" t="inlineStr">
        <is>
          <t>Вопросы круглого стола:</t>
        </is>
      </c>
      <c r="B313" s="2" t="n"/>
      <c r="C313" s="2" t="n"/>
      <c r="D313" s="2" t="n"/>
      <c r="E313" s="2" t="n"/>
      <c r="F313" s="2" t="n"/>
      <c r="G313" s="2" t="n"/>
    </row>
    <row r="314" ht="32" customHeight="1">
      <c r="A314" s="22" t="inlineStr">
        <is>
          <t>Подходы и тактики сбора и анализа данных, пассивные и активные способы сбора данных.</t>
        </is>
      </c>
      <c r="B314" s="2" t="n"/>
      <c r="C314" s="2" t="n"/>
      <c r="D314" s="2" t="n"/>
      <c r="E314" s="2" t="n"/>
      <c r="F314" s="2" t="n"/>
      <c r="G314" s="2" t="n"/>
    </row>
    <row r="315" ht="51" customHeight="1">
      <c r="A315" s="3" t="inlineStr">
        <is>
          <t>БКТ — Безопасность компьютерных технологий
Раздел: Практические аспекты обеспечения кибербезопасности · УТП: таблица 2, строка 22</t>
        </is>
      </c>
      <c r="B315" s="4" t="n"/>
      <c r="C315" s="4" t="n"/>
      <c r="D315" s="4" t="n"/>
      <c r="E315" s="4" t="n"/>
      <c r="F315" s="4" t="n"/>
      <c r="G315" s="4" t="n"/>
    </row>
    <row r="316" ht="30" customHeight="1">
      <c r="A316" s="3" t="inlineStr">
        <is>
          <t>В программе: Тема 8. Безопасность веб-приложений (2 часа лекции, 2 часа круглый стол).</t>
        </is>
      </c>
      <c r="B316" s="4" t="n"/>
      <c r="C316" s="4" t="n"/>
      <c r="D316" s="4" t="n"/>
      <c r="E316" s="4" t="n"/>
      <c r="F316" s="4" t="n"/>
      <c r="G316" s="4" t="n"/>
    </row>
    <row r="317" ht="25" customHeight="1">
      <c r="A317" s="23" t="inlineStr">
        <is>
          <t>Исходная программа БКТ ↗</t>
        </is>
      </c>
      <c r="D317" s="23" t="inlineStr">
        <is>
          <t>Исходный УТП БКТ ↗</t>
        </is>
      </c>
    </row>
    <row r="318" ht="27" customHeight="1">
      <c r="A318" s="24">
        <f>HYPERLINK("#'Выбор тем'!E"&amp;MATCH("T-FCD91ADA",'Выбор тем'!$A:$A,0),"← Вернуться к теме")</f>
        <v/>
      </c>
    </row>
    <row r="320" ht="38" customHeight="1">
      <c r="A320" s="18" t="inlineStr">
        <is>
          <t>Безопасность машинного обучения</t>
        </is>
      </c>
      <c r="B320" s="19" t="n"/>
      <c r="C320" s="19" t="n"/>
      <c r="D320" s="19" t="n"/>
      <c r="E320" s="19" t="n"/>
      <c r="F320" s="19" t="n"/>
      <c r="G320" s="19" t="n"/>
    </row>
    <row r="321" ht="26" customHeight="1">
      <c r="A321" s="3" t="inlineStr">
        <is>
          <t>T-A65EB46E · Программы: ПТИИМ</t>
        </is>
      </c>
      <c r="B321" s="4" t="n"/>
      <c r="C321" s="4" t="n"/>
      <c r="D321" s="4" t="n"/>
      <c r="E321" s="4" t="n"/>
      <c r="F321" s="4" t="n"/>
      <c r="G321" s="4" t="n"/>
    </row>
    <row r="322" ht="27" customHeight="1">
      <c r="A322" s="20" t="inlineStr">
        <is>
          <t>Вариант для: ПТИИМ</t>
        </is>
      </c>
      <c r="B322" s="21" t="n"/>
      <c r="C322" s="21" t="n"/>
      <c r="D322" s="21" t="n"/>
      <c r="E322" s="21" t="n"/>
      <c r="F322" s="21" t="n"/>
      <c r="G322" s="21" t="n"/>
    </row>
    <row r="323" ht="32" customHeight="1">
      <c r="A323" s="22" t="inlineStr">
        <is>
          <t>Основные угрозы системам машинного обучения на этапах сбора данных, обучения, тестирования, внедрения и эксплуатации моделей.</t>
        </is>
      </c>
      <c r="B323" s="2" t="n"/>
      <c r="C323" s="2" t="n"/>
      <c r="D323" s="2" t="n"/>
      <c r="E323" s="2" t="n"/>
      <c r="F323" s="2" t="n"/>
      <c r="G323" s="2" t="n"/>
    </row>
    <row r="324" ht="48" customHeight="1">
      <c r="A324" s="22" t="inlineStr">
        <is>
          <t>Отравление данных (data poisoning): внесение некорректных или специально подготовленных данных в обучающую выборку и влияние таких данных на поведение модели.</t>
        </is>
      </c>
      <c r="B324" s="2" t="n"/>
      <c r="C324" s="2" t="n"/>
      <c r="D324" s="2" t="n"/>
      <c r="E324" s="2" t="n"/>
      <c r="F324" s="2" t="n"/>
      <c r="G324" s="2" t="n"/>
    </row>
    <row r="325" ht="48" customHeight="1">
      <c r="A325" s="22" t="inlineStr">
        <is>
          <t>Состязательные атаки (adversarial attacks) и уклонение от обнаружения (model evasion). Изменение входных данных с целью получения ошибочного результата модели.</t>
        </is>
      </c>
      <c r="B325" s="2" t="n"/>
      <c r="C325" s="2" t="n"/>
      <c r="D325" s="2" t="n"/>
      <c r="E325" s="2" t="n"/>
      <c r="F325" s="2" t="n"/>
      <c r="G325" s="2" t="n"/>
    </row>
    <row r="326" ht="32" customHeight="1">
      <c r="A326" s="22" t="inlineStr">
        <is>
          <t>Атаки, направленные на извлечение модели (model extraction), восстановление ее параметров или воспроизведение функциональности.</t>
        </is>
      </c>
      <c r="B326" s="2" t="n"/>
      <c r="C326" s="2" t="n"/>
      <c r="D326" s="2" t="n"/>
      <c r="E326" s="2" t="n"/>
      <c r="F326" s="2" t="n"/>
      <c r="G326" s="2" t="n"/>
    </row>
    <row r="327" ht="32" customHeight="1">
      <c r="A327" s="22" t="inlineStr">
        <is>
          <t>Атаки на определение принадлежности данных к обучающей выборке (membership inference) и связанные с ними риски раскрытия защищаемой информации.</t>
        </is>
      </c>
      <c r="B327" s="2" t="n"/>
      <c r="C327" s="2" t="n"/>
      <c r="D327" s="2" t="n"/>
      <c r="E327" s="2" t="n"/>
      <c r="F327" s="2" t="n"/>
      <c r="G327" s="2" t="n"/>
    </row>
    <row r="328" ht="48" customHeight="1">
      <c r="A328" s="22" t="inlineStr">
        <is>
          <t>Методы защиты данных, моделей и конвейера машинного обучения. Разграничение доступа, контроль целостности, безопасное хранение артефактов и проверка источников данных.</t>
        </is>
      </c>
      <c r="B328" s="2" t="n"/>
      <c r="C328" s="2" t="n"/>
      <c r="D328" s="2" t="n"/>
      <c r="E328" s="2" t="n"/>
      <c r="F328" s="2" t="n"/>
      <c r="G328" s="2" t="n"/>
    </row>
    <row r="329" ht="48" customHeight="1">
      <c r="A329" s="22" t="inlineStr">
        <is>
          <t>Мониторинг качества и безопасности моделей после их внедрения. Выявление деградации модели, изменения распределения данных (data drift) и изменения взаимосвязей между признаками и целевыми результатами (concept drift).</t>
        </is>
      </c>
      <c r="B329" s="2" t="n"/>
      <c r="C329" s="2" t="n"/>
      <c r="D329" s="2" t="n"/>
      <c r="E329" s="2" t="n"/>
      <c r="F329" s="2" t="n"/>
      <c r="G329" s="2" t="n"/>
    </row>
    <row r="330" ht="51" customHeight="1">
      <c r="A330" s="3" t="inlineStr">
        <is>
          <t>ПТИИМ — Применение технологий искусственного интеллекта и машинного обучения в информационной и кибербезопасности
Раздел: Применение ИИ в ИБ · УТП: таблица 2, строка 16</t>
        </is>
      </c>
      <c r="B330" s="4" t="n"/>
      <c r="C330" s="4" t="n"/>
      <c r="D330" s="4" t="n"/>
      <c r="E330" s="4" t="n"/>
      <c r="F330" s="4" t="n"/>
      <c r="G330" s="4" t="n"/>
    </row>
    <row r="331" ht="30" customHeight="1">
      <c r="A331" s="3" t="inlineStr">
        <is>
          <t>В программе: Тема 2. Безопасность машинного обучения (4 часа практические занятия).</t>
        </is>
      </c>
      <c r="B331" s="4" t="n"/>
      <c r="C331" s="4" t="n"/>
      <c r="D331" s="4" t="n"/>
      <c r="E331" s="4" t="n"/>
      <c r="F331" s="4" t="n"/>
      <c r="G331" s="4" t="n"/>
    </row>
    <row r="332" ht="25" customHeight="1">
      <c r="A332" s="23" t="inlineStr">
        <is>
          <t>Исходная программа ПТИИМ ↗</t>
        </is>
      </c>
      <c r="D332" s="23" t="inlineStr">
        <is>
          <t>Исходный УТП ПТИИМ ↗</t>
        </is>
      </c>
    </row>
    <row r="333" ht="27" customHeight="1">
      <c r="A333" s="24">
        <f>HYPERLINK("#'Выбор тем'!E"&amp;MATCH("T-A65EB46E",'Выбор тем'!$A:$A,0),"← Вернуться к теме")</f>
        <v/>
      </c>
    </row>
    <row r="335" ht="38" customHeight="1">
      <c r="A335" s="18" t="inlineStr">
        <is>
          <t>Безопасность технологий виртуализации</t>
        </is>
      </c>
      <c r="B335" s="19" t="n"/>
      <c r="C335" s="19" t="n"/>
      <c r="D335" s="19" t="n"/>
      <c r="E335" s="19" t="n"/>
      <c r="F335" s="19" t="n"/>
      <c r="G335" s="19" t="n"/>
    </row>
    <row r="336" ht="26" customHeight="1">
      <c r="A336" s="3" t="inlineStr">
        <is>
          <t>T-85FB67F8 · Программы: ККС</t>
        </is>
      </c>
      <c r="B336" s="4" t="n"/>
      <c r="C336" s="4" t="n"/>
      <c r="D336" s="4" t="n"/>
      <c r="E336" s="4" t="n"/>
      <c r="F336" s="4" t="n"/>
      <c r="G336" s="4" t="n"/>
    </row>
    <row r="337" ht="27" customHeight="1">
      <c r="A337" s="20" t="inlineStr">
        <is>
          <t>Вариант для: ККС</t>
        </is>
      </c>
      <c r="B337" s="21" t="n"/>
      <c r="C337" s="21" t="n"/>
      <c r="D337" s="21" t="n"/>
      <c r="E337" s="21" t="n"/>
      <c r="F337" s="21" t="n"/>
      <c r="G337" s="21" t="n"/>
    </row>
    <row r="338" ht="32" customHeight="1">
      <c r="A338" s="22" t="inlineStr">
        <is>
          <t>Цели и задачи виртуализации. Объекты виртуализации. Обзор угроз безопасности при использовании технологий виртуализации.</t>
        </is>
      </c>
      <c r="B338" s="2" t="n"/>
      <c r="C338" s="2" t="n"/>
      <c r="D338" s="2" t="n"/>
      <c r="E338" s="2" t="n"/>
      <c r="F338" s="2" t="n"/>
      <c r="G338" s="2" t="n"/>
    </row>
    <row r="339" ht="32" customHeight="1">
      <c r="A339" s="22" t="inlineStr">
        <is>
          <t>Вопросы круглого стола:</t>
        </is>
      </c>
      <c r="B339" s="2" t="n"/>
      <c r="C339" s="2" t="n"/>
      <c r="D339" s="2" t="n"/>
      <c r="E339" s="2" t="n"/>
      <c r="F339" s="2" t="n"/>
      <c r="G339" s="2" t="n"/>
    </row>
    <row r="340" ht="48" customHeight="1">
      <c r="A340" s="22" t="inlineStr">
        <is>
          <t>Обзор норм, рекомендаций и требований по защите информации, возникающих при использовании технологий виртуализации, на примере различных нормативных документов.</t>
        </is>
      </c>
      <c r="B340" s="2" t="n"/>
      <c r="C340" s="2" t="n"/>
      <c r="D340" s="2" t="n"/>
      <c r="E340" s="2" t="n"/>
      <c r="F340" s="2" t="n"/>
      <c r="G340" s="2" t="n"/>
    </row>
    <row r="341" ht="51" customHeight="1">
      <c r="A341" s="3" t="inlineStr">
        <is>
          <t>ККС — Кибербезопасность корпоративных систем
Раздел: Технические меры по обеспечению кибербезопасности · УТП: таблица 2, строка 20</t>
        </is>
      </c>
      <c r="B341" s="4" t="n"/>
      <c r="C341" s="4" t="n"/>
      <c r="D341" s="4" t="n"/>
      <c r="E341" s="4" t="n"/>
      <c r="F341" s="4" t="n"/>
      <c r="G341" s="4" t="n"/>
    </row>
    <row r="342" ht="30" customHeight="1">
      <c r="A342" s="3" t="inlineStr">
        <is>
          <t>В программе: Тема 6. Безопасность технологий виртуализации (2 часа лекции, 2 часа круглый стол).</t>
        </is>
      </c>
      <c r="B342" s="4" t="n"/>
      <c r="C342" s="4" t="n"/>
      <c r="D342" s="4" t="n"/>
      <c r="E342" s="4" t="n"/>
      <c r="F342" s="4" t="n"/>
      <c r="G342" s="4" t="n"/>
    </row>
    <row r="343" ht="25" customHeight="1">
      <c r="A343" s="23" t="inlineStr">
        <is>
          <t>Исходная программа ККС ↗</t>
        </is>
      </c>
      <c r="D343" s="23" t="inlineStr">
        <is>
          <t>Исходный УТП ККС ↗</t>
        </is>
      </c>
    </row>
    <row r="344" ht="27" customHeight="1">
      <c r="A344" s="24">
        <f>HYPERLINK("#'Выбор тем'!E"&amp;MATCH("T-85FB67F8",'Выбор тем'!$A:$A,0),"← Вернуться к теме")</f>
        <v/>
      </c>
    </row>
    <row r="346" ht="38" customHeight="1">
      <c r="A346" s="18" t="inlineStr">
        <is>
          <t>Безопасность технологий виртуализации и облачных вычислений</t>
        </is>
      </c>
      <c r="B346" s="19" t="n"/>
      <c r="C346" s="19" t="n"/>
      <c r="D346" s="19" t="n"/>
      <c r="E346" s="19" t="n"/>
      <c r="F346" s="19" t="n"/>
      <c r="G346" s="19" t="n"/>
    </row>
    <row r="347" ht="26" customHeight="1">
      <c r="A347" s="3" t="inlineStr">
        <is>
          <t>T-AB9839DD · Программы: КО</t>
        </is>
      </c>
      <c r="B347" s="4" t="n"/>
      <c r="C347" s="4" t="n"/>
      <c r="D347" s="4" t="n"/>
      <c r="E347" s="4" t="n"/>
      <c r="F347" s="4" t="n"/>
      <c r="G347" s="4" t="n"/>
    </row>
    <row r="348" ht="27" customHeight="1">
      <c r="A348" s="20" t="inlineStr">
        <is>
          <t>Вариант для: КО</t>
        </is>
      </c>
      <c r="B348" s="21" t="n"/>
      <c r="C348" s="21" t="n"/>
      <c r="D348" s="21" t="n"/>
      <c r="E348" s="21" t="n"/>
      <c r="F348" s="21" t="n"/>
      <c r="G348" s="21" t="n"/>
    </row>
    <row r="349" ht="64" customHeight="1">
      <c r="A349" s="22" t="inlineStr">
        <is>
          <t>Цели и задачи виртуализации. Объекты виртуализации. Обзор угроз безопасности при использовании технологий виртуализации. Обзор требований по защите информации, возникающих при использовании технологий виртуализации на примере нормативных правовых актов Российской Федерации и Республики Беларусь.</t>
        </is>
      </c>
      <c r="B349" s="2" t="n"/>
      <c r="C349" s="2" t="n"/>
      <c r="D349" s="2" t="n"/>
      <c r="E349" s="2" t="n"/>
      <c r="F349" s="2" t="n"/>
      <c r="G349" s="2" t="n"/>
    </row>
    <row r="350" ht="51" customHeight="1">
      <c r="A350" s="3" t="inlineStr">
        <is>
          <t>КО — Кибербезопасность государственных и иных организаций
Раздел: Меры по обеспечению кибербезопасности. · УТП: таблица 2, строка 20</t>
        </is>
      </c>
      <c r="B350" s="4" t="n"/>
      <c r="C350" s="4" t="n"/>
      <c r="D350" s="4" t="n"/>
      <c r="E350" s="4" t="n"/>
      <c r="F350" s="4" t="n"/>
      <c r="G350" s="4" t="n"/>
    </row>
    <row r="351" ht="30" customHeight="1">
      <c r="A351" s="3" t="inlineStr">
        <is>
          <t>В программе: Тема 8. Безопасность технологий виртуализации и облачных вычислений (2 часа лекции).</t>
        </is>
      </c>
      <c r="B351" s="4" t="n"/>
      <c r="C351" s="4" t="n"/>
      <c r="D351" s="4" t="n"/>
      <c r="E351" s="4" t="n"/>
      <c r="F351" s="4" t="n"/>
      <c r="G351" s="4" t="n"/>
    </row>
    <row r="352" ht="25" customHeight="1">
      <c r="A352" s="23" t="inlineStr">
        <is>
          <t>Исходная программа КО ↗</t>
        </is>
      </c>
      <c r="D352" s="23" t="inlineStr">
        <is>
          <t>Исходный УТП КО ↗</t>
        </is>
      </c>
    </row>
    <row r="353" ht="27" customHeight="1">
      <c r="A353" s="24">
        <f>HYPERLINK("#'Выбор тем'!E"&amp;MATCH("T-AB9839DD",'Выбор тем'!$A:$A,0),"← Вернуться к теме")</f>
        <v/>
      </c>
    </row>
    <row r="355" ht="38" customHeight="1">
      <c r="A355" s="18" t="inlineStr">
        <is>
          <t>Безопасность уровня операционных систем</t>
        </is>
      </c>
      <c r="B355" s="19" t="n"/>
      <c r="C355" s="19" t="n"/>
      <c r="D355" s="19" t="n"/>
      <c r="E355" s="19" t="n"/>
      <c r="F355" s="19" t="n"/>
      <c r="G355" s="19" t="n"/>
    </row>
    <row r="356" ht="26" customHeight="1">
      <c r="A356" s="3" t="inlineStr">
        <is>
          <t>T-D13A009F · Программы: КО, ТК</t>
        </is>
      </c>
      <c r="B356" s="4" t="n"/>
      <c r="C356" s="4" t="n"/>
      <c r="D356" s="4" t="n"/>
      <c r="E356" s="4" t="n"/>
      <c r="F356" s="4" t="n"/>
      <c r="G356" s="4" t="n"/>
    </row>
    <row r="357" ht="27" customHeight="1">
      <c r="A357" s="20" t="inlineStr">
        <is>
          <t>Вариант для: КО</t>
        </is>
      </c>
      <c r="B357" s="21" t="n"/>
      <c r="C357" s="21" t="n"/>
      <c r="D357" s="21" t="n"/>
      <c r="E357" s="21" t="n"/>
      <c r="F357" s="21" t="n"/>
      <c r="G357" s="21" t="n"/>
    </row>
    <row r="358" ht="96" customHeight="1">
      <c r="A358" s="22" t="inlineStr">
        <is>
          <t>Модель безопасности Windows-систем. Архитектура и основные компоненты. Особенности реализации защитных механизмов в ОС Windows.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58" s="2" t="n"/>
      <c r="C358" s="2" t="n"/>
      <c r="D358" s="2" t="n"/>
      <c r="E358" s="2" t="n"/>
      <c r="F358" s="2" t="n"/>
      <c r="G358" s="2" t="n"/>
    </row>
    <row r="359" ht="51" customHeight="1">
      <c r="A359" s="3" t="inlineStr">
        <is>
          <t>КО — Кибербезопасность государственных и иных организаций
Раздел: Меры по обеспечению кибербезопасности. · УТП: таблица 2, строка 21</t>
        </is>
      </c>
      <c r="B359" s="4" t="n"/>
      <c r="C359" s="4" t="n"/>
      <c r="D359" s="4" t="n"/>
      <c r="E359" s="4" t="n"/>
      <c r="F359" s="4" t="n"/>
      <c r="G359" s="4" t="n"/>
    </row>
    <row r="360" ht="30" customHeight="1">
      <c r="A360" s="3" t="inlineStr">
        <is>
          <t>В программе: Тема 9. Безопасность уровня операционных систем (2 часа лекции).</t>
        </is>
      </c>
      <c r="B360" s="4" t="n"/>
      <c r="C360" s="4" t="n"/>
      <c r="D360" s="4" t="n"/>
      <c r="E360" s="4" t="n"/>
      <c r="F360" s="4" t="n"/>
      <c r="G360" s="4" t="n"/>
    </row>
    <row r="361" ht="25" customHeight="1">
      <c r="A361" s="23" t="inlineStr">
        <is>
          <t>Исходная программа КО ↗</t>
        </is>
      </c>
      <c r="D361" s="23" t="inlineStr">
        <is>
          <t>Исходный УТП КО ↗</t>
        </is>
      </c>
    </row>
    <row r="362" ht="27" customHeight="1">
      <c r="A362" s="20" t="inlineStr">
        <is>
          <t>Вариант для: ТК</t>
        </is>
      </c>
      <c r="B362" s="21" t="n"/>
      <c r="C362" s="21" t="n"/>
      <c r="D362" s="21" t="n"/>
      <c r="E362" s="21" t="n"/>
      <c r="F362" s="21" t="n"/>
      <c r="G362" s="21" t="n"/>
    </row>
    <row r="363" ht="96" customHeight="1">
      <c r="A363" s="22" t="inlineStr">
        <is>
          <t>Архитектура и основные компоненты операционных систем Windows. Особенности реализации защитных механизмов.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операционных систем Windows. Поддерживаемые протоколы. Сетевая аутентификация. Разграничение доступа к общим ресурсам. Настройка системы безопасности Windows. Настройка реестра. Перечень мероприятий по настройке системы безопасности Windows.</t>
        </is>
      </c>
      <c r="B363" s="2" t="n"/>
      <c r="C363" s="2" t="n"/>
      <c r="D363" s="2" t="n"/>
      <c r="E363" s="2" t="n"/>
      <c r="F363" s="2" t="n"/>
      <c r="G363" s="2" t="n"/>
    </row>
    <row r="364" ht="51" customHeight="1">
      <c r="A364"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11</t>
        </is>
      </c>
      <c r="B364" s="4" t="n"/>
      <c r="C364" s="4" t="n"/>
      <c r="D364" s="4" t="n"/>
      <c r="E364" s="4" t="n"/>
      <c r="F364" s="4" t="n"/>
      <c r="G364" s="4" t="n"/>
    </row>
    <row r="365" ht="30" customHeight="1">
      <c r="A365" s="3" t="inlineStr">
        <is>
          <t>В программе: Тема 3. Безопасность уровня операционных систем (4 часа лекции).</t>
        </is>
      </c>
      <c r="B365" s="4" t="n"/>
      <c r="C365" s="4" t="n"/>
      <c r="D365" s="4" t="n"/>
      <c r="E365" s="4" t="n"/>
      <c r="F365" s="4" t="n"/>
      <c r="G365" s="4" t="n"/>
    </row>
    <row r="366" ht="25" customHeight="1">
      <c r="A366" s="23" t="inlineStr">
        <is>
          <t>Исходная программа ТК ↗</t>
        </is>
      </c>
      <c r="D366" s="23" t="inlineStr">
        <is>
          <t>Исходный УТП ТК ↗</t>
        </is>
      </c>
    </row>
    <row r="367" ht="27" customHeight="1">
      <c r="A367" s="24">
        <f>HYPERLINK("#'Выбор тем'!E"&amp;MATCH("T-D13A009F",'Выбор тем'!$A:$A,0),"← Вернуться к теме")</f>
        <v/>
      </c>
    </row>
    <row r="369" ht="38" customHeight="1">
      <c r="A369" s="18" t="inlineStr">
        <is>
          <t>Безопасность уровня операционных систем (узлов)</t>
        </is>
      </c>
      <c r="B369" s="19" t="n"/>
      <c r="C369" s="19" t="n"/>
      <c r="D369" s="19" t="n"/>
      <c r="E369" s="19" t="n"/>
      <c r="F369" s="19" t="n"/>
      <c r="G369" s="19" t="n"/>
    </row>
    <row r="370" ht="26" customHeight="1">
      <c r="A370" s="3" t="inlineStr">
        <is>
          <t>T-B7EB0CC2 · Программы: БКТ, ККС</t>
        </is>
      </c>
      <c r="B370" s="4" t="n"/>
      <c r="C370" s="4" t="n"/>
      <c r="D370" s="4" t="n"/>
      <c r="E370" s="4" t="n"/>
      <c r="F370" s="4" t="n"/>
      <c r="G370" s="4" t="n"/>
    </row>
    <row r="371" ht="27" customHeight="1">
      <c r="A371" s="20" t="inlineStr">
        <is>
          <t>Вариант для: БКТ</t>
        </is>
      </c>
      <c r="B371" s="21" t="n"/>
      <c r="C371" s="21" t="n"/>
      <c r="D371" s="21" t="n"/>
      <c r="E371" s="21" t="n"/>
      <c r="F371" s="21" t="n"/>
      <c r="G371" s="21" t="n"/>
    </row>
    <row r="372" ht="80" customHeight="1">
      <c r="A372" s="22" t="inlineStr">
        <is>
          <t>Модель безопасности Windows-систем. Архитектура и основные компоненты.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72" s="2" t="n"/>
      <c r="C372" s="2" t="n"/>
      <c r="D372" s="2" t="n"/>
      <c r="E372" s="2" t="n"/>
      <c r="F372" s="2" t="n"/>
      <c r="G372" s="2" t="n"/>
    </row>
    <row r="373" ht="96" customHeight="1">
      <c r="A373" s="22" t="inlineStr">
        <is>
          <t>Настройка системы безопасности Windows. Уязвимости операционной системы (далее – ОС) Windows. Типы уязвимостей Windows. Уязвимости, связанные с управлением доступом к объектам (файлам, папкам, ключам реестра, службам). Примеры атак, использующих недостатки настройки механизмов разграничения доступа. Настройка реестра. Примеры атак, использующих неверное конфигурирование реестра. Уязвимости кода ОС. Примеры атак, использующих ошибки реализации. Настройка системной политики. Пользовательские пароли. Контроль стойкости паролей пользователей. Перечень мероприятий по настройке системы безопасности Windows.</t>
        </is>
      </c>
      <c r="B373" s="2" t="n"/>
      <c r="C373" s="2" t="n"/>
      <c r="D373" s="2" t="n"/>
      <c r="E373" s="2" t="n"/>
      <c r="F373" s="2" t="n"/>
      <c r="G373" s="2" t="n"/>
    </row>
    <row r="374" ht="32" customHeight="1">
      <c r="A374" s="22" t="inlineStr">
        <is>
          <t>Вопросы круглого стола:</t>
        </is>
      </c>
      <c r="B374" s="2" t="n"/>
      <c r="C374" s="2" t="n"/>
      <c r="D374" s="2" t="n"/>
      <c r="E374" s="2" t="n"/>
      <c r="F374" s="2" t="n"/>
      <c r="G374" s="2" t="n"/>
    </row>
    <row r="375" ht="32" customHeight="1">
      <c r="A375" s="22" t="inlineStr">
        <is>
          <t>Особенности реализации защитных механизмов в ОС Windows.</t>
        </is>
      </c>
      <c r="B375" s="2" t="n"/>
      <c r="C375" s="2" t="n"/>
      <c r="D375" s="2" t="n"/>
      <c r="E375" s="2" t="n"/>
      <c r="F375" s="2" t="n"/>
      <c r="G375" s="2" t="n"/>
    </row>
    <row r="376" ht="51" customHeight="1">
      <c r="A376" s="3" t="inlineStr">
        <is>
          <t>БКТ — Безопасность компьютерных технологий
Раздел: Практические аспекты обеспечения кибербезопасности · УТП: таблица 2, строка 21</t>
        </is>
      </c>
      <c r="B376" s="4" t="n"/>
      <c r="C376" s="4" t="n"/>
      <c r="D376" s="4" t="n"/>
      <c r="E376" s="4" t="n"/>
      <c r="F376" s="4" t="n"/>
      <c r="G376" s="4" t="n"/>
    </row>
    <row r="377" ht="30" customHeight="1">
      <c r="A377" s="3" t="inlineStr">
        <is>
          <t>В программе: Тема 7. Безопасность уровня операционных систем (узлов) (2 часа лекции, 2 часа круглый стол).</t>
        </is>
      </c>
      <c r="B377" s="4" t="n"/>
      <c r="C377" s="4" t="n"/>
      <c r="D377" s="4" t="n"/>
      <c r="E377" s="4" t="n"/>
      <c r="F377" s="4" t="n"/>
      <c r="G377" s="4" t="n"/>
    </row>
    <row r="378" ht="25" customHeight="1">
      <c r="A378" s="23" t="inlineStr">
        <is>
          <t>Исходная программа БКТ ↗</t>
        </is>
      </c>
      <c r="D378" s="23" t="inlineStr">
        <is>
          <t>Исходный УТП БКТ ↗</t>
        </is>
      </c>
    </row>
    <row r="379" ht="27" customHeight="1">
      <c r="A379" s="20" t="inlineStr">
        <is>
          <t>Вариант для: ККС</t>
        </is>
      </c>
      <c r="B379" s="21" t="n"/>
      <c r="C379" s="21" t="n"/>
      <c r="D379" s="21" t="n"/>
      <c r="E379" s="21" t="n"/>
      <c r="F379" s="21" t="n"/>
      <c r="G379" s="21" t="n"/>
    </row>
    <row r="380" ht="32" customHeight="1">
      <c r="A380" s="22" t="inlineStr">
        <is>
          <t>Модель безопасности Windows-систем.</t>
        </is>
      </c>
      <c r="B380" s="2" t="n"/>
      <c r="C380" s="2" t="n"/>
      <c r="D380" s="2" t="n"/>
      <c r="E380" s="2" t="n"/>
      <c r="F380" s="2" t="n"/>
      <c r="G380" s="2" t="n"/>
    </row>
    <row r="381" ht="80" customHeight="1">
      <c r="A381" s="22" t="inlineStr">
        <is>
          <t>Архитектура и основные компоненты. Особенности реализации защитных механизмов в операционной системе Windows. Идентификация, аутентификация, разграничение доступа к объектам файловой системы. Назначение прав пользователей. Регистрация событий. Настройка аудита. Работа с журналом безопасности. Системный реестр. Средства редактирования реестра. Безопасность реестра. Настройка разграничения доступа к ключам реестра. Аудит действий в отношении реестра. Сетевые возможности Windows. Поддерживаемые протоколы. Сетевая аутентификация. Разграничение доступа к общим ресурсам.</t>
        </is>
      </c>
      <c r="B381" s="2" t="n"/>
      <c r="C381" s="2" t="n"/>
      <c r="D381" s="2" t="n"/>
      <c r="E381" s="2" t="n"/>
      <c r="F381" s="2" t="n"/>
      <c r="G381" s="2" t="n"/>
    </row>
    <row r="382" ht="32" customHeight="1">
      <c r="A382" s="22" t="inlineStr">
        <is>
          <t>Настройка системы безопасности Windows.</t>
        </is>
      </c>
      <c r="B382" s="2" t="n"/>
      <c r="C382" s="2" t="n"/>
      <c r="D382" s="2" t="n"/>
      <c r="E382" s="2" t="n"/>
      <c r="F382" s="2" t="n"/>
      <c r="G382" s="2" t="n"/>
    </row>
    <row r="383" ht="80" customHeight="1">
      <c r="A383" s="22" t="inlineStr">
        <is>
          <t>Уязвимости ОС Windows. Типы уязвимостей Windows. Уязвимости, связанные с управлением доступом к объектам (файлам, папкам, ключам реестра, службам). Примеры атак, использующих недостатки настройки механизмов разграничения доступа. Настройка реестра. Примеры атак, использующих неверное конфигурирование реестра. Уязвимости кода ОС. Примеры атак, использующих ошибки реализации. Настройка системной политики. Пользовательские пароли. Контроль стойкости паролей пользователей.</t>
        </is>
      </c>
      <c r="B383" s="2" t="n"/>
      <c r="C383" s="2" t="n"/>
      <c r="D383" s="2" t="n"/>
      <c r="E383" s="2" t="n"/>
      <c r="F383" s="2" t="n"/>
      <c r="G383" s="2" t="n"/>
    </row>
    <row r="384" ht="32" customHeight="1">
      <c r="A384" s="22" t="inlineStr">
        <is>
          <t>Вопросы круглого стола:</t>
        </is>
      </c>
      <c r="B384" s="2" t="n"/>
      <c r="C384" s="2" t="n"/>
      <c r="D384" s="2" t="n"/>
      <c r="E384" s="2" t="n"/>
      <c r="F384" s="2" t="n"/>
      <c r="G384" s="2" t="n"/>
    </row>
    <row r="385" ht="32" customHeight="1">
      <c r="A385" s="22" t="inlineStr">
        <is>
          <t>Перечень мероприятий по настройке системы безопасности Windows.</t>
        </is>
      </c>
      <c r="B385" s="2" t="n"/>
      <c r="C385" s="2" t="n"/>
      <c r="D385" s="2" t="n"/>
      <c r="E385" s="2" t="n"/>
      <c r="F385" s="2" t="n"/>
      <c r="G385" s="2" t="n"/>
    </row>
    <row r="386" ht="51" customHeight="1">
      <c r="A386" s="3" t="inlineStr">
        <is>
          <t>ККС — Кибербезопасность корпоративных систем
Раздел: Технические меры по обеспечению кибербезопасности · УТП: таблица 2, строка 19</t>
        </is>
      </c>
      <c r="B386" s="4" t="n"/>
      <c r="C386" s="4" t="n"/>
      <c r="D386" s="4" t="n"/>
      <c r="E386" s="4" t="n"/>
      <c r="F386" s="4" t="n"/>
      <c r="G386" s="4" t="n"/>
    </row>
    <row r="387" ht="30" customHeight="1">
      <c r="A387" s="3" t="inlineStr">
        <is>
          <t>В программе: Тема 5. Безопасность уровня операционных систем (узлов) (2 часа лекции, 2 часа круглый стол).</t>
        </is>
      </c>
      <c r="B387" s="4" t="n"/>
      <c r="C387" s="4" t="n"/>
      <c r="D387" s="4" t="n"/>
      <c r="E387" s="4" t="n"/>
      <c r="F387" s="4" t="n"/>
      <c r="G387" s="4" t="n"/>
    </row>
    <row r="388" ht="25" customHeight="1">
      <c r="A388" s="23" t="inlineStr">
        <is>
          <t>Исходная программа ККС ↗</t>
        </is>
      </c>
      <c r="D388" s="23" t="inlineStr">
        <is>
          <t>Исходный УТП ККС ↗</t>
        </is>
      </c>
    </row>
    <row r="389" ht="27" customHeight="1">
      <c r="A389" s="24">
        <f>HYPERLINK("#'Выбор тем'!E"&amp;MATCH("T-B7EB0CC2",'Выбор тем'!$A:$A,0),"← Вернуться к теме")</f>
        <v/>
      </c>
    </row>
    <row r="391" ht="38" customHeight="1">
      <c r="A391" s="18" t="inlineStr">
        <is>
          <t>Введение в ИИ и машинное обучение</t>
        </is>
      </c>
      <c r="B391" s="19" t="n"/>
      <c r="C391" s="19" t="n"/>
      <c r="D391" s="19" t="n"/>
      <c r="E391" s="19" t="n"/>
      <c r="F391" s="19" t="n"/>
      <c r="G391" s="19" t="n"/>
    </row>
    <row r="392" ht="26" customHeight="1">
      <c r="A392" s="3" t="inlineStr">
        <is>
          <t>T-2CACCDB2 · Программы: ПТИИМ</t>
        </is>
      </c>
      <c r="B392" s="4" t="n"/>
      <c r="C392" s="4" t="n"/>
      <c r="D392" s="4" t="n"/>
      <c r="E392" s="4" t="n"/>
      <c r="F392" s="4" t="n"/>
      <c r="G392" s="4" t="n"/>
    </row>
    <row r="393" ht="27" customHeight="1">
      <c r="A393" s="20" t="inlineStr">
        <is>
          <t>Вариант для: ПТИИМ</t>
        </is>
      </c>
      <c r="B393" s="21" t="n"/>
      <c r="C393" s="21" t="n"/>
      <c r="D393" s="21" t="n"/>
      <c r="E393" s="21" t="n"/>
      <c r="F393" s="21" t="n"/>
      <c r="G393" s="21" t="n"/>
    </row>
    <row r="394" ht="32" customHeight="1">
      <c r="A394" s="22" t="inlineStr">
        <is>
          <t>Основные понятия ИИ, машинного и глубокого обучения. Соотношение и различия между ИИ, машинным обучением и глубоким обучением.</t>
        </is>
      </c>
      <c r="B394" s="2" t="n"/>
      <c r="C394" s="2" t="n"/>
      <c r="D394" s="2" t="n"/>
      <c r="E394" s="2" t="n"/>
      <c r="F394" s="2" t="n"/>
      <c r="G394" s="2" t="n"/>
    </row>
    <row r="395" ht="48" customHeight="1">
      <c r="A395" s="22" t="inlineStr">
        <is>
          <t>Основные типы задач машинного обучения: классификация, регрессия, кластеризация и обнаружение аномалий. Особенности выбора типа задачи в зависимости от характера исходных данных и ожидаемого результата.</t>
        </is>
      </c>
      <c r="B395" s="2" t="n"/>
      <c r="C395" s="2" t="n"/>
      <c r="D395" s="2" t="n"/>
      <c r="E395" s="2" t="n"/>
      <c r="F395" s="2" t="n"/>
      <c r="G395" s="2" t="n"/>
    </row>
    <row r="396" ht="48" customHeight="1">
      <c r="A396" s="22" t="inlineStr">
        <is>
          <t>Жизненный цикл системы машинного обучения: постановка задачи, сбор и подготовка данных, выбор и обучение модели, валидация полученных результатов, внедрение и последующий мониторинг модели.</t>
        </is>
      </c>
      <c r="B396" s="2" t="n"/>
      <c r="C396" s="2" t="n"/>
      <c r="D396" s="2" t="n"/>
      <c r="E396" s="2" t="n"/>
      <c r="F396" s="2" t="n"/>
      <c r="G396" s="2" t="n"/>
    </row>
    <row r="397" ht="32" customHeight="1">
      <c r="A397" s="22" t="inlineStr">
        <is>
          <t>Основные области применения технологий ИИ и машинного обучения в медицине, финансовой сфере, транспортной отрасли и других направлениях.</t>
        </is>
      </c>
      <c r="B397" s="2" t="n"/>
      <c r="C397" s="2" t="n"/>
      <c r="D397" s="2" t="n"/>
      <c r="E397" s="2" t="n"/>
      <c r="F397" s="2" t="n"/>
      <c r="G397" s="2" t="n"/>
    </row>
    <row r="398" ht="48" customHeight="1">
      <c r="A398" s="22" t="inlineStr">
        <is>
          <t>Возможности использования ИИ в информационной и кибербезопасности для анализа событий, выявления угроз, обнаружения аномалий и поддержки принятия решений.</t>
        </is>
      </c>
      <c r="B398" s="2" t="n"/>
      <c r="C398" s="2" t="n"/>
      <c r="D398" s="2" t="n"/>
      <c r="E398" s="2" t="n"/>
      <c r="F398" s="2" t="n"/>
      <c r="G398" s="2" t="n"/>
    </row>
    <row r="399" ht="51" customHeight="1">
      <c r="A399"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6</t>
        </is>
      </c>
      <c r="B399" s="4" t="n"/>
      <c r="C399" s="4" t="n"/>
      <c r="D399" s="4" t="n"/>
      <c r="E399" s="4" t="n"/>
      <c r="F399" s="4" t="n"/>
      <c r="G399" s="4" t="n"/>
    </row>
    <row r="400" ht="30" customHeight="1">
      <c r="A400" s="3" t="inlineStr">
        <is>
          <t>В программе: Тема 1. Введение в ИИ и машинное обучение (4 часа лекции).</t>
        </is>
      </c>
      <c r="B400" s="4" t="n"/>
      <c r="C400" s="4" t="n"/>
      <c r="D400" s="4" t="n"/>
      <c r="E400" s="4" t="n"/>
      <c r="F400" s="4" t="n"/>
      <c r="G400" s="4" t="n"/>
    </row>
    <row r="401" ht="25" customHeight="1">
      <c r="A401" s="23" t="inlineStr">
        <is>
          <t>Исходная программа ПТИИМ ↗</t>
        </is>
      </c>
      <c r="D401" s="23" t="inlineStr">
        <is>
          <t>Исходный УТП ПТИИМ ↗</t>
        </is>
      </c>
    </row>
    <row r="402" ht="27" customHeight="1">
      <c r="A402" s="24">
        <f>HYPERLINK("#'Выбор тем'!E"&amp;MATCH("T-2CACCDB2",'Выбор тем'!$A:$A,0),"← Вернуться к теме")</f>
        <v/>
      </c>
    </row>
    <row r="404" ht="38" customHeight="1">
      <c r="A404" s="18" t="inlineStr">
        <is>
          <t>Введение в криптографию</t>
        </is>
      </c>
      <c r="B404" s="19" t="n"/>
      <c r="C404" s="19" t="n"/>
      <c r="D404" s="19" t="n"/>
      <c r="E404" s="19" t="n"/>
      <c r="F404" s="19" t="n"/>
      <c r="G404" s="19" t="n"/>
    </row>
    <row r="405" ht="26" customHeight="1">
      <c r="A405" s="3" t="inlineStr">
        <is>
          <t>T-D2B0FD7A · Программы: КЗИ</t>
        </is>
      </c>
      <c r="B405" s="4" t="n"/>
      <c r="C405" s="4" t="n"/>
      <c r="D405" s="4" t="n"/>
      <c r="E405" s="4" t="n"/>
      <c r="F405" s="4" t="n"/>
      <c r="G405" s="4" t="n"/>
    </row>
    <row r="406" ht="27" customHeight="1">
      <c r="A406" s="20" t="inlineStr">
        <is>
          <t>Вариант для: КЗИ</t>
        </is>
      </c>
      <c r="B406" s="21" t="n"/>
      <c r="C406" s="21" t="n"/>
      <c r="D406" s="21" t="n"/>
      <c r="E406" s="21" t="n"/>
      <c r="F406" s="21" t="n"/>
      <c r="G406" s="21" t="n"/>
    </row>
    <row r="407" ht="64" customHeight="1">
      <c r="A407" s="22" t="inlineStr">
        <is>
          <t>Предмет и задачи криптографии. Основные термины и определения. Место и роль криптографии в обеспечении безопасности информационных технологий. Задачи, решаемые криптографическими методами: обеспечение конфиденциальности, контроль целостности, аутентификация, невозможность отказа от авторства.</t>
        </is>
      </c>
      <c r="B407" s="2" t="n"/>
      <c r="C407" s="2" t="n"/>
      <c r="D407" s="2" t="n"/>
      <c r="E407" s="2" t="n"/>
      <c r="F407" s="2" t="n"/>
      <c r="G407" s="2" t="n"/>
    </row>
    <row r="408" ht="51" customHeight="1">
      <c r="A408" s="3" t="inlineStr">
        <is>
          <t>КЗИ — Криптографическая защита информации
Раздел: Основы криптографической защиты информации · УТП: таблица 2, строка 6</t>
        </is>
      </c>
      <c r="B408" s="4" t="n"/>
      <c r="C408" s="4" t="n"/>
      <c r="D408" s="4" t="n"/>
      <c r="E408" s="4" t="n"/>
      <c r="F408" s="4" t="n"/>
      <c r="G408" s="4" t="n"/>
    </row>
    <row r="409" ht="30" customHeight="1">
      <c r="A409" s="3" t="inlineStr">
        <is>
          <t>В программе: Тема 1. Введение в криптографию (2 часа лекции).</t>
        </is>
      </c>
      <c r="B409" s="4" t="n"/>
      <c r="C409" s="4" t="n"/>
      <c r="D409" s="4" t="n"/>
      <c r="E409" s="4" t="n"/>
      <c r="F409" s="4" t="n"/>
      <c r="G409" s="4" t="n"/>
    </row>
    <row r="410" ht="25" customHeight="1">
      <c r="A410" s="23" t="inlineStr">
        <is>
          <t>Исходная программа КЗИ ↗</t>
        </is>
      </c>
      <c r="D410" s="23" t="inlineStr">
        <is>
          <t>Исходный УТП КЗИ ↗</t>
        </is>
      </c>
    </row>
    <row r="411" ht="27" customHeight="1">
      <c r="A411" s="24">
        <f>HYPERLINK("#'Выбор тем'!E"&amp;MATCH("T-D2B0FD7A",'Выбор тем'!$A:$A,0),"← Вернуться к теме")</f>
        <v/>
      </c>
    </row>
    <row r="413" ht="38" customHeight="1">
      <c r="A413" s="18" t="inlineStr">
        <is>
          <t>Виды spoofing-кибератак</t>
        </is>
      </c>
      <c r="B413" s="19" t="n"/>
      <c r="C413" s="19" t="n"/>
      <c r="D413" s="19" t="n"/>
      <c r="E413" s="19" t="n"/>
      <c r="F413" s="19" t="n"/>
      <c r="G413" s="19" t="n"/>
    </row>
    <row r="414" ht="26" customHeight="1">
      <c r="A414" s="3" t="inlineStr">
        <is>
          <t>T-C63BA7BB · Программы: ТК</t>
        </is>
      </c>
      <c r="B414" s="4" t="n"/>
      <c r="C414" s="4" t="n"/>
      <c r="D414" s="4" t="n"/>
      <c r="E414" s="4" t="n"/>
      <c r="F414" s="4" t="n"/>
      <c r="G414" s="4" t="n"/>
    </row>
    <row r="415" ht="27" customHeight="1">
      <c r="A415" s="20" t="inlineStr">
        <is>
          <t>Вариант для: ТК</t>
        </is>
      </c>
      <c r="B415" s="21" t="n"/>
      <c r="C415" s="21" t="n"/>
      <c r="D415" s="21" t="n"/>
      <c r="E415" s="21" t="n"/>
      <c r="F415" s="21" t="n"/>
      <c r="G415" s="21" t="n"/>
    </row>
    <row r="416" ht="96" customHeight="1">
      <c r="A416" s="22" t="inlineStr">
        <is>
          <t>Виды spoofing-кибератак. Цель MAC spoofing-кибератаки. Последовательность действий при реализации кибератаки MAC spoofing. Цель ARP spoofing-кибератаки. Самопроизвольный ARP. Последовательность действий при реализации кибератаки ARP spoofing. Цель IP spoofing-кибератаки. Последовательность действий при реализации кибератаки IP spoofing. Цель DNS spoofing-кибератаки. Последовательность действий при реализации кибератаки DNS spoofing. Цель кибератаки CAM table overflow. Последовательность действий при реализации кибератаки CAM table overflow. Способы защиты от spoofing-кибератак. Конфигурация функции Port-security. Возможные действия при нарушении функции Port-security.</t>
        </is>
      </c>
      <c r="B416" s="2" t="n"/>
      <c r="C416" s="2" t="n"/>
      <c r="D416" s="2" t="n"/>
      <c r="E416" s="2" t="n"/>
      <c r="F416" s="2" t="n"/>
      <c r="G416" s="2" t="n"/>
    </row>
    <row r="417" ht="51" customHeight="1">
      <c r="A41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13</t>
        </is>
      </c>
      <c r="B417" s="4" t="n"/>
      <c r="C417" s="4" t="n"/>
      <c r="D417" s="4" t="n"/>
      <c r="E417" s="4" t="n"/>
      <c r="F417" s="4" t="n"/>
      <c r="G417" s="4" t="n"/>
    </row>
    <row r="418" ht="30" customHeight="1">
      <c r="A418" s="3" t="inlineStr">
        <is>
          <t>В программе: Тема 1. Виды spoofing-кибератак (2 часа лекции, 2 часа лабораторные занятия).</t>
        </is>
      </c>
      <c r="B418" s="4" t="n"/>
      <c r="C418" s="4" t="n"/>
      <c r="D418" s="4" t="n"/>
      <c r="E418" s="4" t="n"/>
      <c r="F418" s="4" t="n"/>
      <c r="G418" s="4" t="n"/>
    </row>
    <row r="419" ht="25" customHeight="1">
      <c r="A419" s="23" t="inlineStr">
        <is>
          <t>Исходная программа ТК ↗</t>
        </is>
      </c>
      <c r="D419" s="23" t="inlineStr">
        <is>
          <t>Исходный УТП ТК ↗</t>
        </is>
      </c>
    </row>
    <row r="420" ht="27" customHeight="1">
      <c r="A420" s="24">
        <f>HYPERLINK("#'Выбор тем'!E"&amp;MATCH("T-C63BA7BB",'Выбор тем'!$A:$A,0),"← Вернуться к теме")</f>
        <v/>
      </c>
    </row>
    <row r="422" ht="38" customHeight="1">
      <c r="A422" s="18" t="inlineStr">
        <is>
          <t>Виды маршрутизации. Статическая маршрутизация</t>
        </is>
      </c>
      <c r="B422" s="19" t="n"/>
      <c r="C422" s="19" t="n"/>
      <c r="D422" s="19" t="n"/>
      <c r="E422" s="19" t="n"/>
      <c r="F422" s="19" t="n"/>
      <c r="G422" s="19" t="n"/>
    </row>
    <row r="423" ht="26" customHeight="1">
      <c r="A423" s="3" t="inlineStr">
        <is>
          <t>T-D7702E7D · Программы: ОКМ</t>
        </is>
      </c>
      <c r="B423" s="4" t="n"/>
      <c r="C423" s="4" t="n"/>
      <c r="D423" s="4" t="n"/>
      <c r="E423" s="4" t="n"/>
      <c r="F423" s="4" t="n"/>
      <c r="G423" s="4" t="n"/>
    </row>
    <row r="424" ht="27" customHeight="1">
      <c r="A424" s="20" t="inlineStr">
        <is>
          <t>Вариант для: ОКМ</t>
        </is>
      </c>
      <c r="B424" s="21" t="n"/>
      <c r="C424" s="21" t="n"/>
      <c r="D424" s="21" t="n"/>
      <c r="E424" s="21" t="n"/>
      <c r="F424" s="21" t="n"/>
      <c r="G424" s="21" t="n"/>
    </row>
    <row r="425" ht="48" customHeight="1">
      <c r="A425" s="22" t="inlineStr">
        <is>
          <t>Классификация и назначение маршрутизации. Отличительные особенности видов маршрутизации. Основные протоколы маршрутизации. Классификация видов статической маршрутизации. Таблица маршрутизации. Механизмы пересылки пакетов маршрутизатором.</t>
        </is>
      </c>
      <c r="B425" s="2" t="n"/>
      <c r="C425" s="2" t="n"/>
      <c r="D425" s="2" t="n"/>
      <c r="E425" s="2" t="n"/>
      <c r="F425" s="2" t="n"/>
      <c r="G425" s="2" t="n"/>
    </row>
    <row r="426" ht="51" customHeight="1">
      <c r="A426" s="3" t="inlineStr">
        <is>
          <t>ОКМ — Основы обеспечения кибербезопасности. маршрутизация. IPv4- и IPv6-адресация
Раздел: Маршрутизация. IPv4 и IPv6 адресация · УТП: таблица 2, строка 19</t>
        </is>
      </c>
      <c r="B426" s="4" t="n"/>
      <c r="C426" s="4" t="n"/>
      <c r="D426" s="4" t="n"/>
      <c r="E426" s="4" t="n"/>
      <c r="F426" s="4" t="n"/>
      <c r="G426" s="4" t="n"/>
    </row>
    <row r="427" ht="30" customHeight="1">
      <c r="A427" s="3" t="inlineStr">
        <is>
          <t>В программе: Тема 5. Виды маршрутизации. Статическая маршрутизация (2 часа лекции, 2 часа лабораторные занятия).</t>
        </is>
      </c>
      <c r="B427" s="4" t="n"/>
      <c r="C427" s="4" t="n"/>
      <c r="D427" s="4" t="n"/>
      <c r="E427" s="4" t="n"/>
      <c r="F427" s="4" t="n"/>
      <c r="G427" s="4" t="n"/>
    </row>
    <row r="428" ht="25" customHeight="1">
      <c r="A428" s="23" t="inlineStr">
        <is>
          <t>Исходная программа ОКМ ↗</t>
        </is>
      </c>
      <c r="D428" s="23" t="inlineStr">
        <is>
          <t>Исходный УТП ОКМ ↗</t>
        </is>
      </c>
    </row>
    <row r="429" ht="27" customHeight="1">
      <c r="A429" s="24">
        <f>HYPERLINK("#'Выбор тем'!E"&amp;MATCH("T-D7702E7D",'Выбор тем'!$A:$A,0),"← Вернуться к теме")</f>
        <v/>
      </c>
    </row>
    <row r="431" ht="38" customHeight="1">
      <c r="A431" s="18" t="inlineStr">
        <is>
          <t>Виртуальные локальные сети (VLAN). Маршрутизация между VLAN</t>
        </is>
      </c>
      <c r="B431" s="19" t="n"/>
      <c r="C431" s="19" t="n"/>
      <c r="D431" s="19" t="n"/>
      <c r="E431" s="19" t="n"/>
      <c r="F431" s="19" t="n"/>
      <c r="G431" s="19" t="n"/>
    </row>
    <row r="432" ht="26" customHeight="1">
      <c r="A432" s="3" t="inlineStr">
        <is>
          <t>T-7B176FFE · Программы: ОКМ</t>
        </is>
      </c>
      <c r="B432" s="4" t="n"/>
      <c r="C432" s="4" t="n"/>
      <c r="D432" s="4" t="n"/>
      <c r="E432" s="4" t="n"/>
      <c r="F432" s="4" t="n"/>
      <c r="G432" s="4" t="n"/>
    </row>
    <row r="433" ht="27" customHeight="1">
      <c r="A433" s="20" t="inlineStr">
        <is>
          <t>Вариант для: ОКМ</t>
        </is>
      </c>
      <c r="B433" s="21" t="n"/>
      <c r="C433" s="21" t="n"/>
      <c r="D433" s="21" t="n"/>
      <c r="E433" s="21" t="n"/>
      <c r="F433" s="21" t="n"/>
      <c r="G433" s="21" t="n"/>
    </row>
    <row r="434" ht="64" customHeight="1">
      <c r="A434" s="22" t="inlineStr">
        <is>
          <t>Определение, назначение и принципы логической сегментации сети, создание изолированных широковещательных доменов на одном физическом коммутаторе. Настройка тегирования IEEE 802.1Q, роль портов доступа и транка, управление трафиком между VLAN. Маршрутизация между VLAN: необходимость маршрутизатора или L3-коммутатора для обеспечения связи между сегментами, методы организации маршрутизации между VLAN.</t>
        </is>
      </c>
      <c r="B434" s="2" t="n"/>
      <c r="C434" s="2" t="n"/>
      <c r="D434" s="2" t="n"/>
      <c r="E434" s="2" t="n"/>
      <c r="F434" s="2" t="n"/>
      <c r="G434" s="2" t="n"/>
    </row>
    <row r="435" ht="51" customHeight="1">
      <c r="A435" s="3" t="inlineStr">
        <is>
          <t>ОКМ — Основы обеспечения кибербезопасности. маршрутизация. IPv4- и IPv6-адресация
Раздел: Маршрутизация. IPv4 и IPv6 адресация · УТП: таблица 2, строка 22</t>
        </is>
      </c>
      <c r="B435" s="4" t="n"/>
      <c r="C435" s="4" t="n"/>
      <c r="D435" s="4" t="n"/>
      <c r="E435" s="4" t="n"/>
      <c r="F435" s="4" t="n"/>
      <c r="G435" s="4" t="n"/>
    </row>
    <row r="436" ht="30" customHeight="1">
      <c r="A436" s="3" t="inlineStr">
        <is>
          <t>В программе: Тема 8. Виртуальные локальные сети (VLAN). Маршрутизация между VLAN (2 часа лекции, 2 часа лабораторные занятия).</t>
        </is>
      </c>
      <c r="B436" s="4" t="n"/>
      <c r="C436" s="4" t="n"/>
      <c r="D436" s="4" t="n"/>
      <c r="E436" s="4" t="n"/>
      <c r="F436" s="4" t="n"/>
      <c r="G436" s="4" t="n"/>
    </row>
    <row r="437" ht="25" customHeight="1">
      <c r="A437" s="23" t="inlineStr">
        <is>
          <t>Исходная программа ОКМ ↗</t>
        </is>
      </c>
      <c r="D437" s="23" t="inlineStr">
        <is>
          <t>Исходный УТП ОКМ ↗</t>
        </is>
      </c>
    </row>
    <row r="438" ht="27" customHeight="1">
      <c r="A438" s="24">
        <f>HYPERLINK("#'Выбор тем'!E"&amp;MATCH("T-7B176FFE",'Выбор тем'!$A:$A,0),"← Вернуться к теме")</f>
        <v/>
      </c>
    </row>
    <row r="440" ht="38" customHeight="1">
      <c r="A440" s="18" t="inlineStr">
        <is>
          <t>Внутренние нарушители</t>
        </is>
      </c>
      <c r="B440" s="19" t="n"/>
      <c r="C440" s="19" t="n"/>
      <c r="D440" s="19" t="n"/>
      <c r="E440" s="19" t="n"/>
      <c r="F440" s="19" t="n"/>
      <c r="G440" s="19" t="n"/>
    </row>
    <row r="441" ht="26" customHeight="1">
      <c r="A441" s="3" t="inlineStr">
        <is>
          <t>T-A8BFC176 · Программы: ККС</t>
        </is>
      </c>
      <c r="B441" s="4" t="n"/>
      <c r="C441" s="4" t="n"/>
      <c r="D441" s="4" t="n"/>
      <c r="E441" s="4" t="n"/>
      <c r="F441" s="4" t="n"/>
      <c r="G441" s="4" t="n"/>
    </row>
    <row r="442" ht="27" customHeight="1">
      <c r="A442" s="20" t="inlineStr">
        <is>
          <t>Вариант для: ККС</t>
        </is>
      </c>
      <c r="B442" s="21" t="n"/>
      <c r="C442" s="21" t="n"/>
      <c r="D442" s="21" t="n"/>
      <c r="E442" s="21" t="n"/>
      <c r="F442" s="21" t="n"/>
      <c r="G442" s="21" t="n"/>
    </row>
    <row r="443" ht="32" customHeight="1">
      <c r="A443" s="22" t="inlineStr">
        <is>
          <t>Классификация внутренних нарушителей, внутренние угрозы защиты информации.</t>
        </is>
      </c>
      <c r="B443" s="2" t="n"/>
      <c r="C443" s="2" t="n"/>
      <c r="D443" s="2" t="n"/>
      <c r="E443" s="2" t="n"/>
      <c r="F443" s="2" t="n"/>
      <c r="G443" s="2" t="n"/>
    </row>
    <row r="444" ht="32" customHeight="1">
      <c r="A444" s="22" t="inlineStr">
        <is>
          <t>Определение внутренних нарушителей, их классификация, каналы утечки информации, которые могут быть использованы внутренними нарушителями.</t>
        </is>
      </c>
      <c r="B444" s="2" t="n"/>
      <c r="C444" s="2" t="n"/>
      <c r="D444" s="2" t="n"/>
      <c r="E444" s="2" t="n"/>
      <c r="F444" s="2" t="n"/>
      <c r="G444" s="2" t="n"/>
    </row>
    <row r="445" ht="32" customHeight="1">
      <c r="A445" s="22" t="inlineStr">
        <is>
          <t>Рекомендации по противодействию внутренним угрозам защиты информации.</t>
        </is>
      </c>
      <c r="B445" s="2" t="n"/>
      <c r="C445" s="2" t="n"/>
      <c r="D445" s="2" t="n"/>
      <c r="E445" s="2" t="n"/>
      <c r="F445" s="2" t="n"/>
      <c r="G445" s="2" t="n"/>
    </row>
    <row r="446" ht="32" customHeight="1">
      <c r="A446" s="22" t="inlineStr">
        <is>
          <t>Механизмы защиты от несанкционированного доступа. Требования к идентификации и аутентификации.</t>
        </is>
      </c>
      <c r="B446" s="2" t="n"/>
      <c r="C446" s="2" t="n"/>
      <c r="D446" s="2" t="n"/>
      <c r="E446" s="2" t="n"/>
      <c r="F446" s="2" t="n"/>
      <c r="G446" s="2" t="n"/>
    </row>
    <row r="447" ht="32" customHeight="1">
      <c r="A447" s="22" t="inlineStr">
        <is>
          <t>Вопросы круглого стола:</t>
        </is>
      </c>
      <c r="B447" s="2" t="n"/>
      <c r="C447" s="2" t="n"/>
      <c r="D447" s="2" t="n"/>
      <c r="E447" s="2" t="n"/>
      <c r="F447" s="2" t="n"/>
      <c r="G447" s="2" t="n"/>
    </row>
    <row r="448" ht="32" customHeight="1">
      <c r="A448" s="22" t="inlineStr">
        <is>
          <t>События информационной безопасности, связанные с внутренними угрозами.</t>
        </is>
      </c>
      <c r="B448" s="2" t="n"/>
      <c r="C448" s="2" t="n"/>
      <c r="D448" s="2" t="n"/>
      <c r="E448" s="2" t="n"/>
      <c r="F448" s="2" t="n"/>
      <c r="G448" s="2" t="n"/>
    </row>
    <row r="449" ht="51" customHeight="1">
      <c r="A449" s="3" t="inlineStr">
        <is>
          <t>ККС — Кибербезопасность корпоративных систем
Раздел: Технические меры по обеспечению кибербезопасности · УТП: таблица 2, строка 18</t>
        </is>
      </c>
      <c r="B449" s="4" t="n"/>
      <c r="C449" s="4" t="n"/>
      <c r="D449" s="4" t="n"/>
      <c r="E449" s="4" t="n"/>
      <c r="F449" s="4" t="n"/>
      <c r="G449" s="4" t="n"/>
    </row>
    <row r="450" ht="30" customHeight="1">
      <c r="A450" s="3" t="inlineStr">
        <is>
          <t>В программе: Тема 4. Внутренние нарушители (1 час лекции, 1 час круглый стол).</t>
        </is>
      </c>
      <c r="B450" s="4" t="n"/>
      <c r="C450" s="4" t="n"/>
      <c r="D450" s="4" t="n"/>
      <c r="E450" s="4" t="n"/>
      <c r="F450" s="4" t="n"/>
      <c r="G450" s="4" t="n"/>
    </row>
    <row r="451" ht="25" customHeight="1">
      <c r="A451" s="23" t="inlineStr">
        <is>
          <t>Исходная программа ККС ↗</t>
        </is>
      </c>
      <c r="D451" s="23" t="inlineStr">
        <is>
          <t>Исходный УТП ККС ↗</t>
        </is>
      </c>
    </row>
    <row r="452" ht="27" customHeight="1">
      <c r="A452" s="24">
        <f>HYPERLINK("#'Выбор тем'!E"&amp;MATCH("T-A8BFC176",'Выбор тем'!$A:$A,0),"← Вернуться к теме")</f>
        <v/>
      </c>
    </row>
    <row r="454" ht="38" customHeight="1">
      <c r="A454" s="18" t="inlineStr">
        <is>
          <t>Вопросы защиты сетевых взаимодействий</t>
        </is>
      </c>
      <c r="B454" s="19" t="n"/>
      <c r="C454" s="19" t="n"/>
      <c r="D454" s="19" t="n"/>
      <c r="E454" s="19" t="n"/>
      <c r="F454" s="19" t="n"/>
      <c r="G454" s="19" t="n"/>
    </row>
    <row r="455" ht="26" customHeight="1">
      <c r="A455" s="3" t="inlineStr">
        <is>
          <t>T-83EA5A5F · Программы: БКТ, ККС</t>
        </is>
      </c>
      <c r="B455" s="4" t="n"/>
      <c r="C455" s="4" t="n"/>
      <c r="D455" s="4" t="n"/>
      <c r="E455" s="4" t="n"/>
      <c r="F455" s="4" t="n"/>
      <c r="G455" s="4" t="n"/>
    </row>
    <row r="456" ht="27" customHeight="1">
      <c r="A456" s="20" t="inlineStr">
        <is>
          <t>Вариант для: БКТ</t>
        </is>
      </c>
      <c r="B456" s="21" t="n"/>
      <c r="C456" s="21" t="n"/>
      <c r="D456" s="21" t="n"/>
      <c r="E456" s="21" t="n"/>
      <c r="F456" s="21" t="n"/>
      <c r="G456" s="21" t="n"/>
    </row>
    <row r="457" ht="64" customHeight="1">
      <c r="A457" s="22" t="inlineStr">
        <is>
          <t>Безопасность уровня сетевого взаимодействия. Безопасность физического и канального уровней модели OSI. Проблемы безопасности протокола разрешения адресов ARP. Безопасность сетевого уровня модели OSI. Протоколы IP и ICMP. Меры защиты сетевого уровня. Протокол IPSEC. Безопасность транспортного уровня модели OSI. Протоколы TCP и UDP. Меры защиты транспортного уровня. Протоколы SSL/TLS, SSH.</t>
        </is>
      </c>
      <c r="B457" s="2" t="n"/>
      <c r="C457" s="2" t="n"/>
      <c r="D457" s="2" t="n"/>
      <c r="E457" s="2" t="n"/>
      <c r="F457" s="2" t="n"/>
      <c r="G457" s="2" t="n"/>
    </row>
    <row r="458" ht="32" customHeight="1">
      <c r="A458" s="22" t="inlineStr">
        <is>
          <t>Вопросы круглого стола:</t>
        </is>
      </c>
      <c r="B458" s="2" t="n"/>
      <c r="C458" s="2" t="n"/>
      <c r="D458" s="2" t="n"/>
      <c r="E458" s="2" t="n"/>
      <c r="F458" s="2" t="n"/>
      <c r="G458" s="2" t="n"/>
    </row>
    <row r="459" ht="32" customHeight="1">
      <c r="A459" s="22" t="inlineStr">
        <is>
          <t>Проблемы безопасности протоколов прикладного уровня (Telnet, FTP, HTTP, SMTP).</t>
        </is>
      </c>
      <c r="B459" s="2" t="n"/>
      <c r="C459" s="2" t="n"/>
      <c r="D459" s="2" t="n"/>
      <c r="E459" s="2" t="n"/>
      <c r="F459" s="2" t="n"/>
      <c r="G459" s="2" t="n"/>
    </row>
    <row r="460" ht="48" customHeight="1">
      <c r="A460" s="22" t="inlineStr">
        <is>
          <t>Защита Интернет-приложений и Интернет-компонентов. Обеспечение защиты web-серверов. Настройка безопасности для наиболее распространенных протоколов Интернета. Настройка безопасности для web-браузеров. Настройка безопасности для баз данных.</t>
        </is>
      </c>
      <c r="B460" s="2" t="n"/>
      <c r="C460" s="2" t="n"/>
      <c r="D460" s="2" t="n"/>
      <c r="E460" s="2" t="n"/>
      <c r="F460" s="2" t="n"/>
      <c r="G460" s="2" t="n"/>
    </row>
    <row r="461" ht="48" customHeight="1">
      <c r="A461" s="22" t="inlineStr">
        <is>
          <t>Проведение мероприятий по защите электронной почты и систем быстрого обмена сообщениями. Защита серверов электронной почты. Защита клиентов электронной почты. Защита систем быстрого обмена сообщениями.</t>
        </is>
      </c>
      <c r="B461" s="2" t="n"/>
      <c r="C461" s="2" t="n"/>
      <c r="D461" s="2" t="n"/>
      <c r="E461" s="2" t="n"/>
      <c r="F461" s="2" t="n"/>
      <c r="G461" s="2" t="n"/>
    </row>
    <row r="462" ht="48" customHeight="1">
      <c r="A462" s="22" t="inlineStr">
        <is>
          <t>Управление безопасностью в службах каталогов и службах доменных имен DNS. Защита службы каталогов от наиболее распространенных видов атак. Защита службы имен DNS от наиболее распространенных видов атак.</t>
        </is>
      </c>
      <c r="B462" s="2" t="n"/>
      <c r="C462" s="2" t="n"/>
      <c r="D462" s="2" t="n"/>
      <c r="E462" s="2" t="n"/>
      <c r="F462" s="2" t="n"/>
      <c r="G462" s="2" t="n"/>
    </row>
    <row r="463" ht="48" customHeight="1">
      <c r="A463" s="22" t="inlineStr">
        <is>
          <t>Реализация и мониторинг мероприятий по обеспечению безопасности границ сети. Знакомство с понятием периметра сети. Реализация мероприятий по защите входящих и исходящих потоков данных. Мониторинг данных, передаваемых через сеть.</t>
        </is>
      </c>
      <c r="B463" s="2" t="n"/>
      <c r="C463" s="2" t="n"/>
      <c r="D463" s="2" t="n"/>
      <c r="E463" s="2" t="n"/>
      <c r="F463" s="2" t="n"/>
      <c r="G463" s="2" t="n"/>
    </row>
    <row r="464" ht="51" customHeight="1">
      <c r="A464" s="3" t="inlineStr">
        <is>
          <t>БКТ — Безопасность компьютерных технологий
Раздел: Практические аспекты обеспечения кибербезопасности · УТП: таблица 2, строка 19</t>
        </is>
      </c>
      <c r="B464" s="4" t="n"/>
      <c r="C464" s="4" t="n"/>
      <c r="D464" s="4" t="n"/>
      <c r="E464" s="4" t="n"/>
      <c r="F464" s="4" t="n"/>
      <c r="G464" s="4" t="n"/>
    </row>
    <row r="465" ht="30" customHeight="1">
      <c r="A465" s="3" t="inlineStr">
        <is>
          <t>В программе: Тема 5. Вопросы защиты сетевых взаимодействий (2 часа лекции, 2 часа круглый стол).</t>
        </is>
      </c>
      <c r="B465" s="4" t="n"/>
      <c r="C465" s="4" t="n"/>
      <c r="D465" s="4" t="n"/>
      <c r="E465" s="4" t="n"/>
      <c r="F465" s="4" t="n"/>
      <c r="G465" s="4" t="n"/>
    </row>
    <row r="466" ht="25" customHeight="1">
      <c r="A466" s="23" t="inlineStr">
        <is>
          <t>Исходная программа БКТ ↗</t>
        </is>
      </c>
      <c r="D466" s="23" t="inlineStr">
        <is>
          <t>Исходный УТП БКТ ↗</t>
        </is>
      </c>
    </row>
    <row r="467" ht="27" customHeight="1">
      <c r="A467" s="20" t="inlineStr">
        <is>
          <t>Вариант для: ККС</t>
        </is>
      </c>
      <c r="B467" s="21" t="n"/>
      <c r="C467" s="21" t="n"/>
      <c r="D467" s="21" t="n"/>
      <c r="E467" s="21" t="n"/>
      <c r="F467" s="21" t="n"/>
      <c r="G467" s="21" t="n"/>
    </row>
    <row r="468" ht="32" customHeight="1">
      <c r="A468" s="22" t="inlineStr">
        <is>
          <t>Безопасность уровня сетевого взаимодействия.</t>
        </is>
      </c>
      <c r="B468" s="2" t="n"/>
      <c r="C468" s="2" t="n"/>
      <c r="D468" s="2" t="n"/>
      <c r="E468" s="2" t="n"/>
      <c r="F468" s="2" t="n"/>
      <c r="G468" s="2" t="n"/>
    </row>
    <row r="469" ht="64" customHeight="1">
      <c r="A469" s="22" t="inlineStr">
        <is>
          <t>Безопасность физического и канального уровней модели OSI. Проблемы безопасности протокола разрешения адресов ARP. Безопасность сетевого уровня модели OSI. Протоколы IP и ICMP. Меры защиты сетевого уровня. Протокол IPSEC. Безопасность транспортного уровня модели OSI. Протоколы TCP и UDP. Меры защиты транспортного уровня. Протоколы SSL/TLS, SSH. Проблемы безопасности протоколов прикладного уровня (Telnet, FTP, HTTP, SMTP).</t>
        </is>
      </c>
      <c r="B469" s="2" t="n"/>
      <c r="C469" s="2" t="n"/>
      <c r="D469" s="2" t="n"/>
      <c r="E469" s="2" t="n"/>
      <c r="F469" s="2" t="n"/>
      <c r="G469" s="2" t="n"/>
    </row>
    <row r="470" ht="32" customHeight="1">
      <c r="A470" s="22" t="inlineStr">
        <is>
          <t>Защита Интернет-приложений и Интернет-компонентов.</t>
        </is>
      </c>
      <c r="B470" s="2" t="n"/>
      <c r="C470" s="2" t="n"/>
      <c r="D470" s="2" t="n"/>
      <c r="E470" s="2" t="n"/>
      <c r="F470" s="2" t="n"/>
      <c r="G470" s="2" t="n"/>
    </row>
    <row r="471" ht="48" customHeight="1">
      <c r="A471" s="22" t="inlineStr">
        <is>
          <t>Обеспечение защиты web-серверов. Настройка безопасности для наиболее распространенных протоколов Интернета. Настройка безопасности для web-браузеров. Настройка безопасности для баз данных.</t>
        </is>
      </c>
      <c r="B471" s="2" t="n"/>
      <c r="C471" s="2" t="n"/>
      <c r="D471" s="2" t="n"/>
      <c r="E471" s="2" t="n"/>
      <c r="F471" s="2" t="n"/>
      <c r="G471" s="2" t="n"/>
    </row>
    <row r="472" ht="32" customHeight="1">
      <c r="A472" s="22" t="inlineStr">
        <is>
          <t>Проведение мероприятий по защите электронной почты и систем быстрого обмена сообщениями.</t>
        </is>
      </c>
      <c r="B472" s="2" t="n"/>
      <c r="C472" s="2" t="n"/>
      <c r="D472" s="2" t="n"/>
      <c r="E472" s="2" t="n"/>
      <c r="F472" s="2" t="n"/>
      <c r="G472" s="2" t="n"/>
    </row>
    <row r="473" ht="32" customHeight="1">
      <c r="A473" s="22" t="inlineStr">
        <is>
          <t>Защита серверов электронной почты. Защита клиентов электронной почты. Защита систем быстрого обмена сообщениями.</t>
        </is>
      </c>
      <c r="B473" s="2" t="n"/>
      <c r="C473" s="2" t="n"/>
      <c r="D473" s="2" t="n"/>
      <c r="E473" s="2" t="n"/>
      <c r="F473" s="2" t="n"/>
      <c r="G473" s="2" t="n"/>
    </row>
    <row r="474" ht="32" customHeight="1">
      <c r="A474" s="22" t="inlineStr">
        <is>
          <t>Управление безопасностью в службах каталогов и службах доменных имен DNS.</t>
        </is>
      </c>
      <c r="B474" s="2" t="n"/>
      <c r="C474" s="2" t="n"/>
      <c r="D474" s="2" t="n"/>
      <c r="E474" s="2" t="n"/>
      <c r="F474" s="2" t="n"/>
      <c r="G474" s="2" t="n"/>
    </row>
    <row r="475" ht="32" customHeight="1">
      <c r="A475" s="22" t="inlineStr">
        <is>
          <t>Защита службы каталогов от наиболее распространенных видов атак. Защита службы имен DNS от наиболее распространенных видов атак.</t>
        </is>
      </c>
      <c r="B475" s="2" t="n"/>
      <c r="C475" s="2" t="n"/>
      <c r="D475" s="2" t="n"/>
      <c r="E475" s="2" t="n"/>
      <c r="F475" s="2" t="n"/>
      <c r="G475" s="2" t="n"/>
    </row>
    <row r="476" ht="32" customHeight="1">
      <c r="A476" s="22" t="inlineStr">
        <is>
          <t>Реализация и мониторинг мероприятий по обеспечению безопасности границ сети.</t>
        </is>
      </c>
      <c r="B476" s="2" t="n"/>
      <c r="C476" s="2" t="n"/>
      <c r="D476" s="2" t="n"/>
      <c r="E476" s="2" t="n"/>
      <c r="F476" s="2" t="n"/>
      <c r="G476" s="2" t="n"/>
    </row>
    <row r="477" ht="32" customHeight="1">
      <c r="A477" s="22" t="inlineStr">
        <is>
          <t>Знакомство с понятием периметра сети. Реализация мероприятий по защите входящих и исходящих потоков данных.</t>
        </is>
      </c>
      <c r="B477" s="2" t="n"/>
      <c r="C477" s="2" t="n"/>
      <c r="D477" s="2" t="n"/>
      <c r="E477" s="2" t="n"/>
      <c r="F477" s="2" t="n"/>
      <c r="G477" s="2" t="n"/>
    </row>
    <row r="478" ht="32" customHeight="1">
      <c r="A478" s="22" t="inlineStr">
        <is>
          <t>Вопросы круглого стола:</t>
        </is>
      </c>
      <c r="B478" s="2" t="n"/>
      <c r="C478" s="2" t="n"/>
      <c r="D478" s="2" t="n"/>
      <c r="E478" s="2" t="n"/>
      <c r="F478" s="2" t="n"/>
      <c r="G478" s="2" t="n"/>
    </row>
    <row r="479" ht="32" customHeight="1">
      <c r="A479" s="22" t="inlineStr">
        <is>
          <t>Мониторинг данных, передаваемых через сеть.</t>
        </is>
      </c>
      <c r="B479" s="2" t="n"/>
      <c r="C479" s="2" t="n"/>
      <c r="D479" s="2" t="n"/>
      <c r="E479" s="2" t="n"/>
      <c r="F479" s="2" t="n"/>
      <c r="G479" s="2" t="n"/>
    </row>
    <row r="480" ht="51" customHeight="1">
      <c r="A480" s="3" t="inlineStr">
        <is>
          <t>ККС — Кибербезопасность корпоративных систем
Раздел: Технические меры по обеспечению кибербезопасности · УТП: таблица 2, строка 16</t>
        </is>
      </c>
      <c r="B480" s="4" t="n"/>
      <c r="C480" s="4" t="n"/>
      <c r="D480" s="4" t="n"/>
      <c r="E480" s="4" t="n"/>
      <c r="F480" s="4" t="n"/>
      <c r="G480" s="4" t="n"/>
    </row>
    <row r="481" ht="30" customHeight="1">
      <c r="A481" s="3" t="inlineStr">
        <is>
          <t>В программе: Тема 2. Вопросы защиты сетевых взаимодействий (2 часа лекции, 2 часа круглый стол).</t>
        </is>
      </c>
      <c r="B481" s="4" t="n"/>
      <c r="C481" s="4" t="n"/>
      <c r="D481" s="4" t="n"/>
      <c r="E481" s="4" t="n"/>
      <c r="F481" s="4" t="n"/>
      <c r="G481" s="4" t="n"/>
    </row>
    <row r="482" ht="25" customHeight="1">
      <c r="A482" s="23" t="inlineStr">
        <is>
          <t>Исходная программа ККС ↗</t>
        </is>
      </c>
      <c r="D482" s="23" t="inlineStr">
        <is>
          <t>Исходный УТП ККС ↗</t>
        </is>
      </c>
    </row>
    <row r="483" ht="27" customHeight="1">
      <c r="A483" s="24">
        <f>HYPERLINK("#'Выбор тем'!E"&amp;MATCH("T-83EA5A5F",'Выбор тем'!$A:$A,0),"← Вернуться к теме")</f>
        <v/>
      </c>
    </row>
    <row r="485" ht="38" customHeight="1">
      <c r="A485" s="18" t="inlineStr">
        <is>
          <t>Вопросы повышения надежности информационной инфраструктуры</t>
        </is>
      </c>
      <c r="B485" s="19" t="n"/>
      <c r="C485" s="19" t="n"/>
      <c r="D485" s="19" t="n"/>
      <c r="E485" s="19" t="n"/>
      <c r="F485" s="19" t="n"/>
      <c r="G485" s="19" t="n"/>
    </row>
    <row r="486" ht="26" customHeight="1">
      <c r="A486" s="3" t="inlineStr">
        <is>
          <t>T-A086950E · Программы: ККС</t>
        </is>
      </c>
      <c r="B486" s="4" t="n"/>
      <c r="C486" s="4" t="n"/>
      <c r="D486" s="4" t="n"/>
      <c r="E486" s="4" t="n"/>
      <c r="F486" s="4" t="n"/>
      <c r="G486" s="4" t="n"/>
    </row>
    <row r="487" ht="27" customHeight="1">
      <c r="A487" s="20" t="inlineStr">
        <is>
          <t>Вариант для: ККС</t>
        </is>
      </c>
      <c r="B487" s="21" t="n"/>
      <c r="C487" s="21" t="n"/>
      <c r="D487" s="21" t="n"/>
      <c r="E487" s="21" t="n"/>
      <c r="F487" s="21" t="n"/>
      <c r="G487" s="21" t="n"/>
    </row>
    <row r="488" ht="64" customHeight="1">
      <c r="A488" s="22" t="inlineStr">
        <is>
          <t>Надежность объектов информационной инфраструктуры. Резервирование. Мониторинг информационной инфраструктуры. Уровни надежности по классификации Uptime Institute. Обеспечение непрерывной работы и восстановления работоспособности объектов информационной инфраструктуры. Подготовка мероприятий по восстановлению систем в экстренных ситуациях. Учет рисков.</t>
        </is>
      </c>
      <c r="B488" s="2" t="n"/>
      <c r="C488" s="2" t="n"/>
      <c r="D488" s="2" t="n"/>
      <c r="E488" s="2" t="n"/>
      <c r="F488" s="2" t="n"/>
      <c r="G488" s="2" t="n"/>
    </row>
    <row r="489" ht="32" customHeight="1">
      <c r="A489" s="22" t="inlineStr">
        <is>
          <t>Вопросы круглого стола:</t>
        </is>
      </c>
      <c r="B489" s="2" t="n"/>
      <c r="C489" s="2" t="n"/>
      <c r="D489" s="2" t="n"/>
      <c r="E489" s="2" t="n"/>
      <c r="F489" s="2" t="n"/>
      <c r="G489" s="2" t="n"/>
    </row>
    <row r="490" ht="32" customHeight="1">
      <c r="A490" s="22" t="inlineStr">
        <is>
          <t>Превентивные меры противодействия кибератакам как часть системы повышения надежности и отказоустойчивости.</t>
        </is>
      </c>
      <c r="B490" s="2" t="n"/>
      <c r="C490" s="2" t="n"/>
      <c r="D490" s="2" t="n"/>
      <c r="E490" s="2" t="n"/>
      <c r="F490" s="2" t="n"/>
      <c r="G490" s="2" t="n"/>
    </row>
    <row r="491" ht="32" customHeight="1">
      <c r="A491" s="22" t="inlineStr">
        <is>
          <t>Минимизация последствий киберинцидентов.</t>
        </is>
      </c>
      <c r="B491" s="2" t="n"/>
      <c r="C491" s="2" t="n"/>
      <c r="D491" s="2" t="n"/>
      <c r="E491" s="2" t="n"/>
      <c r="F491" s="2" t="n"/>
      <c r="G491" s="2" t="n"/>
    </row>
    <row r="492" ht="51" customHeight="1">
      <c r="A492" s="3" t="inlineStr">
        <is>
          <t>ККС — Кибербезопасность корпоративных систем
Раздел: Правовые и организационные меры по обеспечению кибербезопасности · УТП: таблица 2, строка 11</t>
        </is>
      </c>
      <c r="B492" s="4" t="n"/>
      <c r="C492" s="4" t="n"/>
      <c r="D492" s="4" t="n"/>
      <c r="E492" s="4" t="n"/>
      <c r="F492" s="4" t="n"/>
      <c r="G492" s="4" t="n"/>
    </row>
    <row r="493" ht="30" customHeight="1">
      <c r="A493" s="3" t="inlineStr">
        <is>
          <t>В программе: Тема 2. Вопросы повышения надежности информационной инфраструктуры (2 часа лекции, 2 часа круглый стол).</t>
        </is>
      </c>
      <c r="B493" s="4" t="n"/>
      <c r="C493" s="4" t="n"/>
      <c r="D493" s="4" t="n"/>
      <c r="E493" s="4" t="n"/>
      <c r="F493" s="4" t="n"/>
      <c r="G493" s="4" t="n"/>
    </row>
    <row r="494" ht="25" customHeight="1">
      <c r="A494" s="23" t="inlineStr">
        <is>
          <t>Исходная программа ККС ↗</t>
        </is>
      </c>
      <c r="D494" s="23" t="inlineStr">
        <is>
          <t>Исходный УТП ККС ↗</t>
        </is>
      </c>
    </row>
    <row r="495" ht="27" customHeight="1">
      <c r="A495" s="24">
        <f>HYPERLINK("#'Выбор тем'!E"&amp;MATCH("T-A086950E",'Выбор тем'!$A:$A,0),"← Вернуться к теме")</f>
        <v/>
      </c>
    </row>
    <row r="497" ht="38" customHeight="1">
      <c r="A497" s="18" t="inlineStr">
        <is>
          <t>Встроенные действия: блокировка IP, отправка email, создание тикета</t>
        </is>
      </c>
      <c r="B497" s="19" t="n"/>
      <c r="C497" s="19" t="n"/>
      <c r="D497" s="19" t="n"/>
      <c r="E497" s="19" t="n"/>
      <c r="F497" s="19" t="n"/>
      <c r="G497" s="19" t="n"/>
    </row>
    <row r="498" ht="26" customHeight="1">
      <c r="A498" s="3" t="inlineStr">
        <is>
          <t>T-0D971910 · Программы: РКИОК</t>
        </is>
      </c>
      <c r="B498" s="4" t="n"/>
      <c r="C498" s="4" t="n"/>
      <c r="D498" s="4" t="n"/>
      <c r="E498" s="4" t="n"/>
      <c r="F498" s="4" t="n"/>
      <c r="G498" s="4" t="n"/>
    </row>
    <row r="499" ht="27" customHeight="1">
      <c r="A499" s="20" t="inlineStr">
        <is>
          <t>Вариант для: РКИОК</t>
        </is>
      </c>
      <c r="B499" s="21" t="n"/>
      <c r="C499" s="21" t="n"/>
      <c r="D499" s="21" t="n"/>
      <c r="E499" s="21" t="n"/>
      <c r="F499" s="21" t="n"/>
      <c r="G499" s="21" t="n"/>
    </row>
    <row r="500" ht="48" customHeight="1">
      <c r="A500" s="22" t="inlineStr">
        <is>
          <t>Реализация автоматических мер в SOAR: изменение правил на сетевом экране. Генерация уведомлений ответственным лицам и создание записей в сервис-деске. Контроль и откат выполненных действий при необходимости.</t>
        </is>
      </c>
      <c r="B500" s="2" t="n"/>
      <c r="C500" s="2" t="n"/>
      <c r="D500" s="2" t="n"/>
      <c r="E500" s="2" t="n"/>
      <c r="F500" s="2" t="n"/>
      <c r="G500" s="2" t="n"/>
    </row>
    <row r="501" ht="51" customHeight="1">
      <c r="A501" s="3" t="inlineStr">
        <is>
          <t>РКИОК — Реагирование на киберинциденты и отражение кибератак
Раздел: Автоматизация обработки инцидентов · УТП: таблица 2, строка 63</t>
        </is>
      </c>
      <c r="B501" s="4" t="n"/>
      <c r="C501" s="4" t="n"/>
      <c r="D501" s="4" t="n"/>
      <c r="E501" s="4" t="n"/>
      <c r="F501" s="4" t="n"/>
      <c r="G501" s="4" t="n"/>
    </row>
    <row r="502" ht="30" customHeight="1">
      <c r="A502" s="3" t="inlineStr">
        <is>
          <t>В программе: Тема 5. Встроенные действия: блокировка IP, отправка email, создание тикета (1 час лекции).</t>
        </is>
      </c>
      <c r="B502" s="4" t="n"/>
      <c r="C502" s="4" t="n"/>
      <c r="D502" s="4" t="n"/>
      <c r="E502" s="4" t="n"/>
      <c r="F502" s="4" t="n"/>
      <c r="G502" s="4" t="n"/>
    </row>
    <row r="503" ht="25" customHeight="1">
      <c r="A503" s="23" t="inlineStr">
        <is>
          <t>Исходная программа РКИОК ↗</t>
        </is>
      </c>
      <c r="D503" s="23" t="inlineStr">
        <is>
          <t>Исходный УТП РКИОК ↗</t>
        </is>
      </c>
    </row>
    <row r="504" ht="27" customHeight="1">
      <c r="A504" s="24">
        <f>HYPERLINK("#'Выбор тем'!E"&amp;MATCH("T-0D971910",'Выбор тем'!$A:$A,0),"← Вернуться к теме")</f>
        <v/>
      </c>
    </row>
    <row r="506" ht="38" customHeight="1">
      <c r="A506" s="18" t="inlineStr">
        <is>
          <t>Генеративный ИИ и безопасность</t>
        </is>
      </c>
      <c r="B506" s="19" t="n"/>
      <c r="C506" s="19" t="n"/>
      <c r="D506" s="19" t="n"/>
      <c r="E506" s="19" t="n"/>
      <c r="F506" s="19" t="n"/>
      <c r="G506" s="19" t="n"/>
    </row>
    <row r="507" ht="26" customHeight="1">
      <c r="A507" s="3" t="inlineStr">
        <is>
          <t>T-C8A5D5B3 · Программы: ПТИИМ</t>
        </is>
      </c>
      <c r="B507" s="4" t="n"/>
      <c r="C507" s="4" t="n"/>
      <c r="D507" s="4" t="n"/>
      <c r="E507" s="4" t="n"/>
      <c r="F507" s="4" t="n"/>
      <c r="G507" s="4" t="n"/>
    </row>
    <row r="508" ht="27" customHeight="1">
      <c r="A508" s="20" t="inlineStr">
        <is>
          <t>Вариант для: ПТИИМ</t>
        </is>
      </c>
      <c r="B508" s="21" t="n"/>
      <c r="C508" s="21" t="n"/>
      <c r="D508" s="21" t="n"/>
      <c r="E508" s="21" t="n"/>
      <c r="F508" s="21" t="n"/>
      <c r="G508" s="21" t="n"/>
    </row>
    <row r="509" ht="32" customHeight="1">
      <c r="A509" s="22" t="inlineStr">
        <is>
          <t>Понятие и основные возможности генеративного ИИ. Назначение и области применения больших языковых моделей.</t>
        </is>
      </c>
      <c r="B509" s="2" t="n"/>
      <c r="C509" s="2" t="n"/>
      <c r="D509" s="2" t="n"/>
      <c r="E509" s="2" t="n"/>
      <c r="F509" s="2" t="n"/>
      <c r="G509" s="2" t="n"/>
    </row>
    <row r="510" ht="32" customHeight="1">
      <c r="A510" s="22" t="inlineStr">
        <is>
          <t>Основные принципы работы языковых моделей, применяемые архитектуры и подходы к обработке и генерации текстовой информации.</t>
        </is>
      </c>
      <c r="B510" s="2" t="n"/>
      <c r="C510" s="2" t="n"/>
      <c r="D510" s="2" t="n"/>
      <c r="E510" s="2" t="n"/>
      <c r="F510" s="2" t="n"/>
      <c r="G510" s="2" t="n"/>
    </row>
    <row r="511" ht="48" customHeight="1">
      <c r="A511" s="22" t="inlineStr">
        <is>
          <t>Векторное представление данных с использованием эмбеддингов. Поиск и сопоставление семантически близкой информации на основе векторных представлений.</t>
        </is>
      </c>
      <c r="B511" s="2" t="n"/>
      <c r="C511" s="2" t="n"/>
      <c r="D511" s="2" t="n"/>
      <c r="E511" s="2" t="n"/>
      <c r="F511" s="2" t="n"/>
      <c r="G511" s="2" t="n"/>
    </row>
    <row r="512" ht="32" customHeight="1">
      <c r="A512" s="22" t="inlineStr">
        <is>
          <t>Генерация ответов с дополненным поиском информации (RAG): назначение, составные элементы и особенности использования внешних источников данных.</t>
        </is>
      </c>
      <c r="B512" s="2" t="n"/>
      <c r="C512" s="2" t="n"/>
      <c r="D512" s="2" t="n"/>
      <c r="E512" s="2" t="n"/>
      <c r="F512" s="2" t="n"/>
      <c r="G512" s="2" t="n"/>
    </row>
    <row r="513" ht="32" customHeight="1">
      <c r="A513" s="22" t="inlineStr">
        <is>
          <t>Дообучение языковых моделей (fine-tuning), его назначение, возможности и ограничения.</t>
        </is>
      </c>
      <c r="B513" s="2" t="n"/>
      <c r="C513" s="2" t="n"/>
      <c r="D513" s="2" t="n"/>
      <c r="E513" s="2" t="n"/>
      <c r="F513" s="2" t="n"/>
      <c r="G513" s="2" t="n"/>
    </row>
    <row r="514" ht="48" customHeight="1">
      <c r="A514" s="22" t="inlineStr">
        <is>
          <t>Основные угрозы безопасности генеративного ИИ: внедрение вредоносных инструкций в запросы, утечки защищаемой информации, формирование недостоверных ответов и неконтролируемое использование данных.</t>
        </is>
      </c>
      <c r="B514" s="2" t="n"/>
      <c r="C514" s="2" t="n"/>
      <c r="D514" s="2" t="n"/>
      <c r="E514" s="2" t="n"/>
      <c r="F514" s="2" t="n"/>
      <c r="G514" s="2" t="n"/>
    </row>
    <row r="515" ht="48" customHeight="1">
      <c r="A515" s="22" t="inlineStr">
        <is>
          <t>Подходы к защите систем на основе больших языковых моделей: фильтрация входных запросов и выходных данных, разграничение доступа к информации, применение защитных ограничений, политик безопасности и механизмов контроля.</t>
        </is>
      </c>
      <c r="B515" s="2" t="n"/>
      <c r="C515" s="2" t="n"/>
      <c r="D515" s="2" t="n"/>
      <c r="E515" s="2" t="n"/>
      <c r="F515" s="2" t="n"/>
      <c r="G515" s="2" t="n"/>
    </row>
    <row r="516" ht="51" customHeight="1">
      <c r="A516"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8</t>
        </is>
      </c>
      <c r="B516" s="4" t="n"/>
      <c r="C516" s="4" t="n"/>
      <c r="D516" s="4" t="n"/>
      <c r="E516" s="4" t="n"/>
      <c r="F516" s="4" t="n"/>
      <c r="G516" s="4" t="n"/>
    </row>
    <row r="517" ht="30" customHeight="1">
      <c r="A517" s="3" t="inlineStr">
        <is>
          <t>В программе: Тема 3. Генеративный ИИ и безопасность (4 часа лекции).</t>
        </is>
      </c>
      <c r="B517" s="4" t="n"/>
      <c r="C517" s="4" t="n"/>
      <c r="D517" s="4" t="n"/>
      <c r="E517" s="4" t="n"/>
      <c r="F517" s="4" t="n"/>
      <c r="G517" s="4" t="n"/>
    </row>
    <row r="518" ht="25" customHeight="1">
      <c r="A518" s="23" t="inlineStr">
        <is>
          <t>Исходная программа ПТИИМ ↗</t>
        </is>
      </c>
      <c r="D518" s="23" t="inlineStr">
        <is>
          <t>Исходный УТП ПТИИМ ↗</t>
        </is>
      </c>
    </row>
    <row r="519" ht="27" customHeight="1">
      <c r="A519" s="24">
        <f>HYPERLINK("#'Выбор тем'!E"&amp;MATCH("T-C8A5D5B3",'Выбор тем'!$A:$A,0),"← Вернуться к теме")</f>
        <v/>
      </c>
    </row>
    <row r="521" ht="38" customHeight="1">
      <c r="A521" s="18" t="inlineStr">
        <is>
          <t>Голосовая и видеосвязь в IP-сетях (VoIP/Video over IP)</t>
        </is>
      </c>
      <c r="B521" s="19" t="n"/>
      <c r="C521" s="19" t="n"/>
      <c r="D521" s="19" t="n"/>
      <c r="E521" s="19" t="n"/>
      <c r="F521" s="19" t="n"/>
      <c r="G521" s="19" t="n"/>
    </row>
    <row r="522" ht="26" customHeight="1">
      <c r="A522" s="3" t="inlineStr">
        <is>
          <t>T-5D6D33FF · Программы: ОПКС</t>
        </is>
      </c>
      <c r="B522" s="4" t="n"/>
      <c r="C522" s="4" t="n"/>
      <c r="D522" s="4" t="n"/>
      <c r="E522" s="4" t="n"/>
      <c r="F522" s="4" t="n"/>
      <c r="G522" s="4" t="n"/>
    </row>
    <row r="523" ht="27" customHeight="1">
      <c r="A523" s="20" t="inlineStr">
        <is>
          <t>Вариант для: ОПКС</t>
        </is>
      </c>
      <c r="B523" s="21" t="n"/>
      <c r="C523" s="21" t="n"/>
      <c r="D523" s="21" t="n"/>
      <c r="E523" s="21" t="n"/>
      <c r="F523" s="21" t="n"/>
      <c r="G523" s="21" t="n"/>
    </row>
    <row r="524" ht="48" customHeight="1">
      <c r="A524" s="22" t="inlineStr">
        <is>
          <t>Пакетная коммутация и коммутация каналов, примеры применения. Структура сети VoIP (Voice over IP). Протоколы транспортного уровня для VoIP. Процесс передачи данных VoIP в соответствии с моделью OSI. Сравнение протоколов VoIP уровня приложения.</t>
        </is>
      </c>
      <c r="B524" s="2" t="n"/>
      <c r="C524" s="2" t="n"/>
      <c r="D524" s="2" t="n"/>
      <c r="E524" s="2" t="n"/>
      <c r="F524" s="2" t="n"/>
      <c r="G524" s="2" t="n"/>
    </row>
    <row r="525" ht="51" customHeight="1">
      <c r="A525"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15</t>
        </is>
      </c>
      <c r="B525" s="4" t="n"/>
      <c r="C525" s="4" t="n"/>
      <c r="D525" s="4" t="n"/>
      <c r="E525" s="4" t="n"/>
      <c r="F525" s="4" t="n"/>
      <c r="G525" s="4" t="n"/>
    </row>
    <row r="526" ht="30" customHeight="1">
      <c r="A526" s="3" t="inlineStr">
        <is>
          <t>В программе: Тема 10. Голосовая и видеосвязь в IP-сетях (VoIP/Video over IP) (2 часа лекции, 2 часа лабораторные занятия).</t>
        </is>
      </c>
      <c r="B526" s="4" t="n"/>
      <c r="C526" s="4" t="n"/>
      <c r="D526" s="4" t="n"/>
      <c r="E526" s="4" t="n"/>
      <c r="F526" s="4" t="n"/>
      <c r="G526" s="4" t="n"/>
    </row>
    <row r="527" ht="25" customHeight="1">
      <c r="A527" s="23" t="inlineStr">
        <is>
          <t>Исходная программа ОПКС ↗</t>
        </is>
      </c>
      <c r="D527" s="23" t="inlineStr">
        <is>
          <t>Исходный УТП ОПКС ↗</t>
        </is>
      </c>
    </row>
    <row r="528" ht="27" customHeight="1">
      <c r="A528" s="24">
        <f>HYPERLINK("#'Выбор тем'!E"&amp;MATCH("T-5D6D33FF",'Выбор тем'!$A:$A,0),"← Вернуться к теме")</f>
        <v/>
      </c>
    </row>
    <row r="530" ht="38" customHeight="1">
      <c r="A530" s="18" t="inlineStr">
        <is>
          <t>Государственная политика и регулирование в сфере цифровой трансформации государственного управления</t>
        </is>
      </c>
      <c r="B530" s="19" t="n"/>
      <c r="C530" s="19" t="n"/>
      <c r="D530" s="19" t="n"/>
      <c r="E530" s="19" t="n"/>
      <c r="F530" s="19" t="n"/>
      <c r="G530" s="19" t="n"/>
    </row>
    <row r="531" ht="26" customHeight="1">
      <c r="A531" s="3" t="inlineStr">
        <is>
          <t>T-49F69CF3 · Программы: ЦТГУ</t>
        </is>
      </c>
      <c r="B531" s="4" t="n"/>
      <c r="C531" s="4" t="n"/>
      <c r="D531" s="4" t="n"/>
      <c r="E531" s="4" t="n"/>
      <c r="F531" s="4" t="n"/>
      <c r="G531" s="4" t="n"/>
    </row>
    <row r="532" ht="27" customHeight="1">
      <c r="A532" s="20" t="inlineStr">
        <is>
          <t>Вариант для: ЦТГУ</t>
        </is>
      </c>
      <c r="B532" s="21" t="n"/>
      <c r="C532" s="21" t="n"/>
      <c r="D532" s="21" t="n"/>
      <c r="E532" s="21" t="n"/>
      <c r="F532" s="21" t="n"/>
      <c r="G532" s="21" t="n"/>
    </row>
    <row r="533" ht="32" customHeight="1">
      <c r="A533" s="22" t="inlineStr">
        <is>
          <t>Мировой опыт формирования и реализации государственной политики в сфере цифровой трансформации государственного управления.</t>
        </is>
      </c>
      <c r="B533" s="2" t="n"/>
      <c r="C533" s="2" t="n"/>
      <c r="D533" s="2" t="n"/>
      <c r="E533" s="2" t="n"/>
      <c r="F533" s="2" t="n"/>
      <c r="G533" s="2" t="n"/>
    </row>
    <row r="534" ht="32" customHeight="1">
      <c r="A534" s="22" t="inlineStr">
        <is>
          <t>Формирование и реализация государственной политики в сфере цифровой трансформации государственного управления.</t>
        </is>
      </c>
      <c r="B534" s="2" t="n"/>
      <c r="C534" s="2" t="n"/>
      <c r="D534" s="2" t="n"/>
      <c r="E534" s="2" t="n"/>
      <c r="F534" s="2" t="n"/>
      <c r="G534" s="2" t="n"/>
    </row>
    <row r="535" ht="48" customHeight="1">
      <c r="A535" s="22" t="inlineStr">
        <is>
          <t>Стратегические и концептуальные основы государственной политики в сфере цифровой трансформации государственного управления. Цели и направления государственной политики в сфере цифровой трансформации государственного управления.</t>
        </is>
      </c>
      <c r="B535" s="2" t="n"/>
      <c r="C535" s="2" t="n"/>
      <c r="D535" s="2" t="n"/>
      <c r="E535" s="2" t="n"/>
      <c r="F535" s="2" t="n"/>
      <c r="G535" s="2" t="n"/>
    </row>
    <row r="536" ht="64" customHeight="1">
      <c r="A536" s="22" t="inlineStr">
        <is>
          <t>Организационно-правовая система регулирования цифровой трансформацией государственного управления. Полномочия государственных органов в сфере цифровой трансформации государственного управления. Полномочия органов местного управления и самоуправления в сфере цифровой трансформации государственного управления. Полномочия Совета по проектам в сфере цифрового развития при Министерстве связи и информатизации Республики Беларусь.</t>
        </is>
      </c>
      <c r="B536" s="2" t="n"/>
      <c r="C536" s="2" t="n"/>
      <c r="D536" s="2" t="n"/>
      <c r="E536" s="2" t="n"/>
      <c r="F536" s="2" t="n"/>
      <c r="G536" s="2" t="n"/>
    </row>
    <row r="537" ht="51" customHeight="1">
      <c r="A537"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7</t>
        </is>
      </c>
      <c r="B537" s="4" t="n"/>
      <c r="C537" s="4" t="n"/>
      <c r="D537" s="4" t="n"/>
      <c r="E537" s="4" t="n"/>
      <c r="F537" s="4" t="n"/>
      <c r="G537" s="4" t="n"/>
    </row>
    <row r="538" ht="30" customHeight="1">
      <c r="A538" s="3" t="inlineStr">
        <is>
          <t>В программе: Тема 2. Государственная политика и регулирование в сфере цифровой трансформации государственного управления (2 часа лекции).</t>
        </is>
      </c>
      <c r="B538" s="4" t="n"/>
      <c r="C538" s="4" t="n"/>
      <c r="D538" s="4" t="n"/>
      <c r="E538" s="4" t="n"/>
      <c r="F538" s="4" t="n"/>
      <c r="G538" s="4" t="n"/>
    </row>
    <row r="539" ht="25" customHeight="1">
      <c r="A539" s="23" t="inlineStr">
        <is>
          <t>Исходная программа ЦТГУ ↗</t>
        </is>
      </c>
      <c r="D539" s="23" t="inlineStr">
        <is>
          <t>Исходный УТП ЦТГУ ↗</t>
        </is>
      </c>
    </row>
    <row r="540" ht="27" customHeight="1">
      <c r="A540" s="24">
        <f>HYPERLINK("#'Выбор тем'!E"&amp;MATCH("T-49F69CF3",'Выбор тем'!$A:$A,0),"← Вернуться к теме")</f>
        <v/>
      </c>
    </row>
    <row r="542" ht="38" customHeight="1">
      <c r="A542" s="18" t="inlineStr">
        <is>
          <t>Государственная система управления открытыми ключами проверки электронной цифровой подписи</t>
        </is>
      </c>
      <c r="B542" s="19" t="n"/>
      <c r="C542" s="19" t="n"/>
      <c r="D542" s="19" t="n"/>
      <c r="E542" s="19" t="n"/>
      <c r="F542" s="19" t="n"/>
      <c r="G542" s="19" t="n"/>
    </row>
    <row r="543" ht="26" customHeight="1">
      <c r="A543" s="3" t="inlineStr">
        <is>
          <t>T-AABF3943 · Программы: КЗИ</t>
        </is>
      </c>
      <c r="B543" s="4" t="n"/>
      <c r="C543" s="4" t="n"/>
      <c r="D543" s="4" t="n"/>
      <c r="E543" s="4" t="n"/>
      <c r="F543" s="4" t="n"/>
      <c r="G543" s="4" t="n"/>
    </row>
    <row r="544" ht="27" customHeight="1">
      <c r="A544" s="20" t="inlineStr">
        <is>
          <t>Вариант для: КЗИ</t>
        </is>
      </c>
      <c r="B544" s="21" t="n"/>
      <c r="C544" s="21" t="n"/>
      <c r="D544" s="21" t="n"/>
      <c r="E544" s="21" t="n"/>
      <c r="F544" s="21" t="n"/>
      <c r="G544" s="21" t="n"/>
    </row>
    <row r="545" ht="80" customHeight="1">
      <c r="A545" s="22" t="inlineStr">
        <is>
          <t>Основные понятия, архитектура, компоненты и их функции, оператор Государственной системы управления открытыми ключами (далее – ГосСУОК). Сервисы, предоставляемые ГосСУОК. Управление сертификатами открытых ключей, изданных в ГосСУОК. Средства электронной цифровой подписи, назначение, возможности, носители ключевой информации. Безопасность применения средств электронной цифровой подписи. Инфраструктура атрибутных сертификатов. Технология мобильной электронной цифровой подписи.</t>
        </is>
      </c>
      <c r="B545" s="2" t="n"/>
      <c r="C545" s="2" t="n"/>
      <c r="D545" s="2" t="n"/>
      <c r="E545" s="2" t="n"/>
      <c r="F545" s="2" t="n"/>
      <c r="G545" s="2" t="n"/>
    </row>
    <row r="546" ht="51" customHeight="1">
      <c r="A546" s="3" t="inlineStr">
        <is>
          <t>КЗИ — Криптографическая защита информации
Раздел: Инфраструктура открытых ключей. · УТП: таблица 2, строка 20</t>
        </is>
      </c>
      <c r="B546" s="4" t="n"/>
      <c r="C546" s="4" t="n"/>
      <c r="D546" s="4" t="n"/>
      <c r="E546" s="4" t="n"/>
      <c r="F546" s="4" t="n"/>
      <c r="G546" s="4" t="n"/>
    </row>
    <row r="547" ht="30" customHeight="1">
      <c r="A547" s="3" t="inlineStr">
        <is>
          <t>В программе: Тема 3. Государственная система управления открытыми ключами проверки электронной цифровой подписи (2 часа лекции).</t>
        </is>
      </c>
      <c r="B547" s="4" t="n"/>
      <c r="C547" s="4" t="n"/>
      <c r="D547" s="4" t="n"/>
      <c r="E547" s="4" t="n"/>
      <c r="F547" s="4" t="n"/>
      <c r="G547" s="4" t="n"/>
    </row>
    <row r="548" ht="25" customHeight="1">
      <c r="A548" s="23" t="inlineStr">
        <is>
          <t>Исходная программа КЗИ ↗</t>
        </is>
      </c>
      <c r="D548" s="23" t="inlineStr">
        <is>
          <t>Исходный УТП КЗИ ↗</t>
        </is>
      </c>
    </row>
    <row r="549" ht="27" customHeight="1">
      <c r="A549" s="24">
        <f>HYPERLINK("#'Выбор тем'!E"&amp;MATCH("T-AABF3943",'Выбор тем'!$A:$A,0),"← Вернуться к теме")</f>
        <v/>
      </c>
    </row>
    <row r="551" ht="38" customHeight="1">
      <c r="A551" s="18" t="inlineStr">
        <is>
          <t>Государственное регулирование в области электронного документа и электронной цифровой подписи в Республике Беларусь</t>
        </is>
      </c>
      <c r="B551" s="19" t="n"/>
      <c r="C551" s="19" t="n"/>
      <c r="D551" s="19" t="n"/>
      <c r="E551" s="19" t="n"/>
      <c r="F551" s="19" t="n"/>
      <c r="G551" s="19" t="n"/>
    </row>
    <row r="552" ht="26" customHeight="1">
      <c r="A552" s="3" t="inlineStr">
        <is>
          <t>T-F8C4AE60 · Программы: КЗИ</t>
        </is>
      </c>
      <c r="B552" s="4" t="n"/>
      <c r="C552" s="4" t="n"/>
      <c r="D552" s="4" t="n"/>
      <c r="E552" s="4" t="n"/>
      <c r="F552" s="4" t="n"/>
      <c r="G552" s="4" t="n"/>
    </row>
    <row r="553" ht="27" customHeight="1">
      <c r="A553" s="20" t="inlineStr">
        <is>
          <t>Вариант для: КЗИ</t>
        </is>
      </c>
      <c r="B553" s="21" t="n"/>
      <c r="C553" s="21" t="n"/>
      <c r="D553" s="21" t="n"/>
      <c r="E553" s="21" t="n"/>
      <c r="F553" s="21" t="n"/>
      <c r="G553" s="21" t="n"/>
    </row>
    <row r="554" ht="48" customHeight="1">
      <c r="A554" s="22" t="inlineStr">
        <is>
          <t>Законодательство Республики Беларусь в сфере электронного документа и электронной цифровой подписи. Нормативные правовые акты Республики Беларусь, регулирующие отношения в сфере технологии электронной цифровой подписи. Предназначение электронной цифровой подписи.</t>
        </is>
      </c>
      <c r="B554" s="2" t="n"/>
      <c r="C554" s="2" t="n"/>
      <c r="D554" s="2" t="n"/>
      <c r="E554" s="2" t="n"/>
      <c r="F554" s="2" t="n"/>
      <c r="G554" s="2" t="n"/>
    </row>
    <row r="555" ht="51" customHeight="1">
      <c r="A555" s="3" t="inlineStr">
        <is>
          <t>КЗИ — Криптографическая защита информации
Раздел: Инфраструктура открытых ключей. · УТП: таблица 2, строка 19</t>
        </is>
      </c>
      <c r="B555" s="4" t="n"/>
      <c r="C555" s="4" t="n"/>
      <c r="D555" s="4" t="n"/>
      <c r="E555" s="4" t="n"/>
      <c r="F555" s="4" t="n"/>
      <c r="G555" s="4" t="n"/>
    </row>
    <row r="556" ht="30" customHeight="1">
      <c r="A556" s="3" t="inlineStr">
        <is>
          <t>В программе: Тема 2. Государственное регулирование в области электронного документа и электронной цифровой подписи в Республике Беларусь (2 часа лекции).</t>
        </is>
      </c>
      <c r="B556" s="4" t="n"/>
      <c r="C556" s="4" t="n"/>
      <c r="D556" s="4" t="n"/>
      <c r="E556" s="4" t="n"/>
      <c r="F556" s="4" t="n"/>
      <c r="G556" s="4" t="n"/>
    </row>
    <row r="557" ht="25" customHeight="1">
      <c r="A557" s="23" t="inlineStr">
        <is>
          <t>Исходная программа КЗИ ↗</t>
        </is>
      </c>
      <c r="D557" s="23" t="inlineStr">
        <is>
          <t>Исходный УТП КЗИ ↗</t>
        </is>
      </c>
    </row>
    <row r="558" ht="27" customHeight="1">
      <c r="A558" s="24">
        <f>HYPERLINK("#'Выбор тем'!E"&amp;MATCH("T-F8C4AE60",'Выбор тем'!$A:$A,0),"← Вернуться к теме")</f>
        <v/>
      </c>
    </row>
    <row r="560" ht="38" customHeight="1">
      <c r="A560" s="18" t="inlineStr">
        <is>
          <t>Государственное регулирование деятельности в области обеспечения информационной безопасности в Республике Беларусь</t>
        </is>
      </c>
      <c r="B560" s="19" t="n"/>
      <c r="C560" s="19" t="n"/>
      <c r="D560" s="19" t="n"/>
      <c r="E560" s="19" t="n"/>
      <c r="F560" s="19" t="n"/>
      <c r="G560" s="19" t="n"/>
    </row>
    <row r="561" ht="26" customHeight="1">
      <c r="A561" s="3" t="inlineStr">
        <is>
          <t>T-9FE9F17D · Программы: КЗИ</t>
        </is>
      </c>
      <c r="B561" s="4" t="n"/>
      <c r="C561" s="4" t="n"/>
      <c r="D561" s="4" t="n"/>
      <c r="E561" s="4" t="n"/>
      <c r="F561" s="4" t="n"/>
      <c r="G561" s="4" t="n"/>
    </row>
    <row r="562" ht="27" customHeight="1">
      <c r="A562" s="20" t="inlineStr">
        <is>
          <t>Вариант для: КЗИ</t>
        </is>
      </c>
      <c r="B562" s="21" t="n"/>
      <c r="C562" s="21" t="n"/>
      <c r="D562" s="21" t="n"/>
      <c r="E562" s="21" t="n"/>
      <c r="F562" s="21" t="n"/>
      <c r="G562" s="21" t="n"/>
    </row>
    <row r="563" ht="64" customHeight="1">
      <c r="A563" s="22" t="inlineStr">
        <is>
          <t>Законодательство Республики Беларусь в сфере криптографической защиты информации. Нормативные правовые акты Республики Беларусь, регламентирующие вопросы криптографической защиты информации, распространение и (или) предоставление которой ограничено, не содержащей сведений, отнесенных к государственным секретам. Основные понятия, термины и определения.</t>
        </is>
      </c>
      <c r="B563" s="2" t="n"/>
      <c r="C563" s="2" t="n"/>
      <c r="D563" s="2" t="n"/>
      <c r="E563" s="2" t="n"/>
      <c r="F563" s="2" t="n"/>
      <c r="G563" s="2" t="n"/>
    </row>
    <row r="564" ht="32" customHeight="1">
      <c r="A564" s="22" t="inlineStr">
        <is>
          <t>Лицензирование деятельности по криптографической защите информации. Требования нормативных правовых актов. Цель и задачи лицензирования.</t>
        </is>
      </c>
      <c r="B564" s="2" t="n"/>
      <c r="C564" s="2" t="n"/>
      <c r="D564" s="2" t="n"/>
      <c r="E564" s="2" t="n"/>
      <c r="F564" s="2" t="n"/>
      <c r="G564" s="2" t="n"/>
    </row>
    <row r="565" ht="64" customHeight="1">
      <c r="A565" s="22" t="inlineStr">
        <is>
          <t>Основные положения по организации технической и криптографической защиты информации в информационной системе. Проектирование системы защиты информации. Создание системы защиты информации. Аттестация системы защиты информации. Перечень требований к системе защиты информации, подлежащих включению в техническое задание. Перечень государственных стандартов, которым должны соответствовать средства криптографической защиты информации.</t>
        </is>
      </c>
      <c r="B565" s="2" t="n"/>
      <c r="C565" s="2" t="n"/>
      <c r="D565" s="2" t="n"/>
      <c r="E565" s="2" t="n"/>
      <c r="F565" s="2" t="n"/>
      <c r="G565" s="2" t="n"/>
    </row>
    <row r="566" ht="32" customHeight="1">
      <c r="A566" s="22" t="inlineStr">
        <is>
          <t>Вопросы круглого стола:</t>
        </is>
      </c>
      <c r="B566" s="2" t="n"/>
      <c r="C566" s="2" t="n"/>
      <c r="D566" s="2" t="n"/>
      <c r="E566" s="2" t="n"/>
      <c r="F566" s="2" t="n"/>
      <c r="G566" s="2" t="n"/>
    </row>
    <row r="567" ht="32" customHeight="1">
      <c r="A567" s="22" t="inlineStr">
        <is>
          <t>Обеспечение функционирования системы защиты информации в процессе эксплуатации информационной системы.</t>
        </is>
      </c>
      <c r="B567" s="2" t="n"/>
      <c r="C567" s="2" t="n"/>
      <c r="D567" s="2" t="n"/>
      <c r="E567" s="2" t="n"/>
      <c r="F567" s="2" t="n"/>
      <c r="G567" s="2" t="n"/>
    </row>
    <row r="568" ht="32" customHeight="1">
      <c r="A568" s="22" t="inlineStr">
        <is>
          <t>Обеспечение защиты информации в случае прекращения эксплуатации информационной системы.</t>
        </is>
      </c>
      <c r="B568" s="2" t="n"/>
      <c r="C568" s="2" t="n"/>
      <c r="D568" s="2" t="n"/>
      <c r="E568" s="2" t="n"/>
      <c r="F568" s="2" t="n"/>
      <c r="G568" s="2" t="n"/>
    </row>
    <row r="569" ht="51" customHeight="1">
      <c r="A569" s="3" t="inlineStr">
        <is>
          <t>КЗИ — Криптографическая защита информации
Раздел: Основы криптографической защиты информации · УТП: таблица 2, строка 8</t>
        </is>
      </c>
      <c r="B569" s="4" t="n"/>
      <c r="C569" s="4" t="n"/>
      <c r="D569" s="4" t="n"/>
      <c r="E569" s="4" t="n"/>
      <c r="F569" s="4" t="n"/>
      <c r="G569" s="4" t="n"/>
    </row>
    <row r="570" ht="46" customHeight="1">
      <c r="A570" s="3" t="inlineStr">
        <is>
          <t>В программе: Тема 3. Государственное регулирование деятельности в области обеспечения информационной безопасности в Республике Беларусь (2 часа лекции, 2 часа круглый стол).</t>
        </is>
      </c>
      <c r="B570" s="4" t="n"/>
      <c r="C570" s="4" t="n"/>
      <c r="D570" s="4" t="n"/>
      <c r="E570" s="4" t="n"/>
      <c r="F570" s="4" t="n"/>
      <c r="G570" s="4" t="n"/>
    </row>
    <row r="571" ht="25" customHeight="1">
      <c r="A571" s="23" t="inlineStr">
        <is>
          <t>Исходная программа КЗИ ↗</t>
        </is>
      </c>
      <c r="D571" s="23" t="inlineStr">
        <is>
          <t>Исходный УТП КЗИ ↗</t>
        </is>
      </c>
    </row>
    <row r="572" ht="27" customHeight="1">
      <c r="A572" s="24">
        <f>HYPERLINK("#'Выбор тем'!E"&amp;MATCH("T-9FE9F17D",'Выбор тем'!$A:$A,0),"← Вернуться к теме")</f>
        <v/>
      </c>
    </row>
    <row r="574" ht="38" customHeight="1">
      <c r="A574" s="18" t="inlineStr">
        <is>
          <t>Государственное регулирование деятельности в области обеспечения кибербезопасности</t>
        </is>
      </c>
      <c r="B574" s="19" t="n"/>
      <c r="C574" s="19" t="n"/>
      <c r="D574" s="19" t="n"/>
      <c r="E574" s="19" t="n"/>
      <c r="F574" s="19" t="n"/>
      <c r="G574" s="19" t="n"/>
    </row>
    <row r="575" ht="26" customHeight="1">
      <c r="A575" s="3" t="inlineStr">
        <is>
          <t>T-F8DB456A · Программы: АКБ, АУРИК, БКТ, ЗИКС, ЗИОЗ, КВОИ, ККС, КО, ОКБО, ОКМ, ОПКС, ТК</t>
        </is>
      </c>
      <c r="B575" s="4" t="n"/>
      <c r="C575" s="4" t="n"/>
      <c r="D575" s="4" t="n"/>
      <c r="E575" s="4" t="n"/>
      <c r="F575" s="4" t="n"/>
      <c r="G575" s="4" t="n"/>
    </row>
    <row r="576" ht="27" customHeight="1">
      <c r="A576" s="20" t="inlineStr">
        <is>
          <t>Вариант для: АКБ</t>
        </is>
      </c>
      <c r="B576" s="21" t="n"/>
      <c r="C576" s="21" t="n"/>
      <c r="D576" s="21" t="n"/>
      <c r="E576" s="21" t="n"/>
      <c r="F576" s="21" t="n"/>
      <c r="G576" s="21" t="n"/>
    </row>
    <row r="577" ht="32" customHeight="1">
      <c r="A577" s="22" t="inlineStr">
        <is>
          <t>Методология обеспечения кибербезопасности.</t>
        </is>
      </c>
      <c r="B577" s="2" t="n"/>
      <c r="C577" s="2" t="n"/>
      <c r="D577" s="2" t="n"/>
      <c r="E577" s="2" t="n"/>
      <c r="F577" s="2" t="n"/>
      <c r="G577" s="2" t="n"/>
    </row>
    <row r="578" ht="48" customHeight="1">
      <c r="A578"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78" s="2" t="n"/>
      <c r="C578" s="2" t="n"/>
      <c r="D578" s="2" t="n"/>
      <c r="E578" s="2" t="n"/>
      <c r="F578" s="2" t="n"/>
      <c r="G578" s="2" t="n"/>
    </row>
    <row r="579" ht="32" customHeight="1">
      <c r="A579" s="22" t="inlineStr">
        <is>
          <t>Законодательство в сфере обеспечения кибербезопасности.</t>
        </is>
      </c>
      <c r="B579" s="2" t="n"/>
      <c r="C579" s="2" t="n"/>
      <c r="D579" s="2" t="n"/>
      <c r="E579" s="2" t="n"/>
      <c r="F579" s="2" t="n"/>
      <c r="G579" s="2" t="n"/>
    </row>
    <row r="580" ht="96" customHeight="1">
      <c r="A580"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580" s="2" t="n"/>
      <c r="C580" s="2" t="n"/>
      <c r="D580" s="2" t="n"/>
      <c r="E580" s="2" t="n"/>
      <c r="F580" s="2" t="n"/>
      <c r="G580" s="2" t="n"/>
    </row>
    <row r="581" ht="32" customHeight="1">
      <c r="A581" s="22" t="inlineStr">
        <is>
          <t>Государственный контроль за обеспечением кибербезопасности.</t>
        </is>
      </c>
      <c r="B581" s="2" t="n"/>
      <c r="C581" s="2" t="n"/>
      <c r="D581" s="2" t="n"/>
      <c r="E581" s="2" t="n"/>
      <c r="F581" s="2" t="n"/>
      <c r="G581" s="2" t="n"/>
    </row>
    <row r="582" ht="64" customHeight="1">
      <c r="A582" s="22"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582" s="2" t="n"/>
      <c r="C582" s="2" t="n"/>
      <c r="D582" s="2" t="n"/>
      <c r="E582" s="2" t="n"/>
      <c r="F582" s="2" t="n"/>
      <c r="G582" s="2" t="n"/>
    </row>
    <row r="583" ht="51" customHeight="1">
      <c r="A583" s="3" t="inlineStr">
        <is>
          <t>АКБ — Администратор кибербезопасности
Раздел: Законодательство в области обеспечения кибербезопасности · УТП: таблица 2, строка 6</t>
        </is>
      </c>
      <c r="B583" s="4" t="n"/>
      <c r="C583" s="4" t="n"/>
      <c r="D583" s="4" t="n"/>
      <c r="E583" s="4" t="n"/>
      <c r="F583" s="4" t="n"/>
      <c r="G583" s="4" t="n"/>
    </row>
    <row r="584" ht="30" customHeight="1">
      <c r="A584"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584" s="4" t="n"/>
      <c r="C584" s="4" t="n"/>
      <c r="D584" s="4" t="n"/>
      <c r="E584" s="4" t="n"/>
      <c r="F584" s="4" t="n"/>
      <c r="G584" s="4" t="n"/>
    </row>
    <row r="585" ht="25" customHeight="1">
      <c r="A585" s="23" t="inlineStr">
        <is>
          <t>Исходная программа АКБ ↗</t>
        </is>
      </c>
      <c r="D585" s="23" t="inlineStr">
        <is>
          <t>Исходный УТП АКБ ↗</t>
        </is>
      </c>
    </row>
    <row r="586" ht="27" customHeight="1">
      <c r="A586" s="20" t="inlineStr">
        <is>
          <t>Вариант для: АУРИК</t>
        </is>
      </c>
      <c r="B586" s="21" t="n"/>
      <c r="C586" s="21" t="n"/>
      <c r="D586" s="21" t="n"/>
      <c r="E586" s="21" t="n"/>
      <c r="F586" s="21" t="n"/>
      <c r="G586" s="21" t="n"/>
    </row>
    <row r="587" ht="32" customHeight="1">
      <c r="A587" s="22" t="inlineStr">
        <is>
          <t>Методология обеспечения кибербезопасности.</t>
        </is>
      </c>
      <c r="B587" s="2" t="n"/>
      <c r="C587" s="2" t="n"/>
      <c r="D587" s="2" t="n"/>
      <c r="E587" s="2" t="n"/>
      <c r="F587" s="2" t="n"/>
      <c r="G587" s="2" t="n"/>
    </row>
    <row r="588" ht="48" customHeight="1">
      <c r="A588"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88" s="2" t="n"/>
      <c r="C588" s="2" t="n"/>
      <c r="D588" s="2" t="n"/>
      <c r="E588" s="2" t="n"/>
      <c r="F588" s="2" t="n"/>
      <c r="G588" s="2" t="n"/>
    </row>
    <row r="589" ht="32" customHeight="1">
      <c r="A589" s="22" t="inlineStr">
        <is>
          <t>Законодательство в сфере обеспечения кибербезопасности.</t>
        </is>
      </c>
      <c r="B589" s="2" t="n"/>
      <c r="C589" s="2" t="n"/>
      <c r="D589" s="2" t="n"/>
      <c r="E589" s="2" t="n"/>
      <c r="F589" s="2" t="n"/>
      <c r="G589" s="2" t="n"/>
    </row>
    <row r="590" ht="96" customHeight="1">
      <c r="A590"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590" s="2" t="n"/>
      <c r="C590" s="2" t="n"/>
      <c r="D590" s="2" t="n"/>
      <c r="E590" s="2" t="n"/>
      <c r="F590" s="2" t="n"/>
      <c r="G590" s="2" t="n"/>
    </row>
    <row r="591" ht="32" customHeight="1">
      <c r="A591" s="22" t="inlineStr">
        <is>
          <t>Государственный контроль за обеспечением кибербезопасности.</t>
        </is>
      </c>
      <c r="B591" s="2" t="n"/>
      <c r="C591" s="2" t="n"/>
      <c r="D591" s="2" t="n"/>
      <c r="E591" s="2" t="n"/>
      <c r="F591" s="2" t="n"/>
      <c r="G591" s="2" t="n"/>
    </row>
    <row r="592" ht="64" customHeight="1">
      <c r="A592" s="22" t="inlineStr">
        <is>
          <t>Контроль деятельности за технической и криптографической защитой информации. Плановый и внеплановый контроль. Виды административного и иного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592" s="2" t="n"/>
      <c r="C592" s="2" t="n"/>
      <c r="D592" s="2" t="n"/>
      <c r="E592" s="2" t="n"/>
      <c r="F592" s="2" t="n"/>
      <c r="G592" s="2" t="n"/>
    </row>
    <row r="593" ht="51" customHeight="1">
      <c r="A593" s="3" t="inlineStr">
        <is>
          <t>АУРИК — Аудит, управление рисками и инцидентами кибербезопасности
Раздел: Законодательство в области обеспечения кибербезопасности · УТП: таблица 2, строка 6</t>
        </is>
      </c>
      <c r="B593" s="4" t="n"/>
      <c r="C593" s="4" t="n"/>
      <c r="D593" s="4" t="n"/>
      <c r="E593" s="4" t="n"/>
      <c r="F593" s="4" t="n"/>
      <c r="G593" s="4" t="n"/>
    </row>
    <row r="594" ht="30" customHeight="1">
      <c r="A594" s="3" t="inlineStr">
        <is>
          <t>В программе: Тема 1. Государственное регулирование деятельности в области обеспечения кибербезопасности (4 часа лекции).</t>
        </is>
      </c>
      <c r="B594" s="4" t="n"/>
      <c r="C594" s="4" t="n"/>
      <c r="D594" s="4" t="n"/>
      <c r="E594" s="4" t="n"/>
      <c r="F594" s="4" t="n"/>
      <c r="G594" s="4" t="n"/>
    </row>
    <row r="595" ht="25" customHeight="1">
      <c r="A595" s="23" t="inlineStr">
        <is>
          <t>Исходная программа АУРИК ↗</t>
        </is>
      </c>
      <c r="D595" s="23" t="inlineStr">
        <is>
          <t>Исходный УТП АУРИК ↗</t>
        </is>
      </c>
    </row>
    <row r="596" ht="27" customHeight="1">
      <c r="A596" s="20" t="inlineStr">
        <is>
          <t>Вариант для: БКТ</t>
        </is>
      </c>
      <c r="B596" s="21" t="n"/>
      <c r="C596" s="21" t="n"/>
      <c r="D596" s="21" t="n"/>
      <c r="E596" s="21" t="n"/>
      <c r="F596" s="21" t="n"/>
      <c r="G596" s="21" t="n"/>
    </row>
    <row r="597" ht="32" customHeight="1">
      <c r="A597" s="22" t="inlineStr">
        <is>
          <t>Методология обеспечения кибербезопасности.</t>
        </is>
      </c>
      <c r="B597" s="2" t="n"/>
      <c r="C597" s="2" t="n"/>
      <c r="D597" s="2" t="n"/>
      <c r="E597" s="2" t="n"/>
      <c r="F597" s="2" t="n"/>
      <c r="G597" s="2" t="n"/>
    </row>
    <row r="598" ht="48" customHeight="1">
      <c r="A598"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598" s="2" t="n"/>
      <c r="C598" s="2" t="n"/>
      <c r="D598" s="2" t="n"/>
      <c r="E598" s="2" t="n"/>
      <c r="F598" s="2" t="n"/>
      <c r="G598" s="2" t="n"/>
    </row>
    <row r="599" ht="32" customHeight="1">
      <c r="A599" s="22" t="inlineStr">
        <is>
          <t>Законодательство в сфере обеспечения кибербезопасности.</t>
        </is>
      </c>
      <c r="B599" s="2" t="n"/>
      <c r="C599" s="2" t="n"/>
      <c r="D599" s="2" t="n"/>
      <c r="E599" s="2" t="n"/>
      <c r="F599" s="2" t="n"/>
      <c r="G599" s="2" t="n"/>
    </row>
    <row r="600" ht="96" customHeight="1">
      <c r="A600"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00" s="2" t="n"/>
      <c r="C600" s="2" t="n"/>
      <c r="D600" s="2" t="n"/>
      <c r="E600" s="2" t="n"/>
      <c r="F600" s="2" t="n"/>
      <c r="G600" s="2" t="n"/>
    </row>
    <row r="601" ht="32" customHeight="1">
      <c r="A601" s="22" t="inlineStr">
        <is>
          <t>Государственный контроль за обеспечением кибербезопасности.</t>
        </is>
      </c>
      <c r="B601" s="2" t="n"/>
      <c r="C601" s="2" t="n"/>
      <c r="D601" s="2" t="n"/>
      <c r="E601" s="2" t="n"/>
      <c r="F601" s="2" t="n"/>
      <c r="G601" s="2" t="n"/>
    </row>
    <row r="602" ht="64" customHeight="1">
      <c r="A602" s="22"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02" s="2" t="n"/>
      <c r="C602" s="2" t="n"/>
      <c r="D602" s="2" t="n"/>
      <c r="E602" s="2" t="n"/>
      <c r="F602" s="2" t="n"/>
      <c r="G602" s="2" t="n"/>
    </row>
    <row r="603" ht="51" customHeight="1">
      <c r="A603" s="3" t="inlineStr">
        <is>
          <t>БКТ — Безопасность компьютерных технологий
Раздел: Законодательство в области обеспечения кибербезопасности · УТП: таблица 2, строка 6</t>
        </is>
      </c>
      <c r="B603" s="4" t="n"/>
      <c r="C603" s="4" t="n"/>
      <c r="D603" s="4" t="n"/>
      <c r="E603" s="4" t="n"/>
      <c r="F603" s="4" t="n"/>
      <c r="G603" s="4" t="n"/>
    </row>
    <row r="604" ht="30" customHeight="1">
      <c r="A604" s="3" t="inlineStr">
        <is>
          <t>В программе: Тема 1. Государственное регулирование деятельности в области обеспечения кибербезопасности (4 часа лекции).</t>
        </is>
      </c>
      <c r="B604" s="4" t="n"/>
      <c r="C604" s="4" t="n"/>
      <c r="D604" s="4" t="n"/>
      <c r="E604" s="4" t="n"/>
      <c r="F604" s="4" t="n"/>
      <c r="G604" s="4" t="n"/>
    </row>
    <row r="605" ht="25" customHeight="1">
      <c r="A605" s="23" t="inlineStr">
        <is>
          <t>Исходная программа БКТ ↗</t>
        </is>
      </c>
      <c r="D605" s="23" t="inlineStr">
        <is>
          <t>Исходный УТП БКТ ↗</t>
        </is>
      </c>
    </row>
    <row r="606" ht="27" customHeight="1">
      <c r="A606" s="20" t="inlineStr">
        <is>
          <t>Вариант для: ЗИКС</t>
        </is>
      </c>
      <c r="B606" s="21" t="n"/>
      <c r="C606" s="21" t="n"/>
      <c r="D606" s="21" t="n"/>
      <c r="E606" s="21" t="n"/>
      <c r="F606" s="21" t="n"/>
      <c r="G606" s="21" t="n"/>
    </row>
    <row r="607" ht="32" customHeight="1">
      <c r="A607" s="22" t="inlineStr">
        <is>
          <t>Законодательство в сфере обеспечения защиты информации.</t>
        </is>
      </c>
      <c r="B607" s="2" t="n"/>
      <c r="C607" s="2" t="n"/>
      <c r="D607" s="2" t="n"/>
      <c r="E607" s="2" t="n"/>
      <c r="F607" s="2" t="n"/>
      <c r="G607" s="2" t="n"/>
    </row>
    <row r="608" ht="96" customHeight="1">
      <c r="A608" s="22" t="inlineStr">
        <is>
          <t>Законодательство Республики Беларусь в сфере обеспечения защиты информации.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08" s="2" t="n"/>
      <c r="C608" s="2" t="n"/>
      <c r="D608" s="2" t="n"/>
      <c r="E608" s="2" t="n"/>
      <c r="F608" s="2" t="n"/>
      <c r="G608" s="2" t="n"/>
    </row>
    <row r="609" ht="32" customHeight="1">
      <c r="A609" s="22" t="inlineStr">
        <is>
          <t>Государственный контроль за обеспечением защиты информации.</t>
        </is>
      </c>
      <c r="B609" s="2" t="n"/>
      <c r="C609" s="2" t="n"/>
      <c r="D609" s="2" t="n"/>
      <c r="E609" s="2" t="n"/>
      <c r="F609" s="2" t="n"/>
      <c r="G609" s="2" t="n"/>
    </row>
    <row r="610" ht="64" customHeight="1">
      <c r="A610" s="22"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10" s="2" t="n"/>
      <c r="C610" s="2" t="n"/>
      <c r="D610" s="2" t="n"/>
      <c r="E610" s="2" t="n"/>
      <c r="F610" s="2" t="n"/>
      <c r="G610" s="2" t="n"/>
    </row>
    <row r="611" ht="51" customHeight="1">
      <c r="A611" s="3" t="inlineStr">
        <is>
          <t>ЗИКС — Защита информации в корпоративных системах
Раздел: Законодательство в области обеспечения кибербезопасности. · УТП: таблица 2, строка 6</t>
        </is>
      </c>
      <c r="B611" s="4" t="n"/>
      <c r="C611" s="4" t="n"/>
      <c r="D611" s="4" t="n"/>
      <c r="E611" s="4" t="n"/>
      <c r="F611" s="4" t="n"/>
      <c r="G611" s="4" t="n"/>
    </row>
    <row r="612" ht="30" customHeight="1">
      <c r="A612"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12" s="4" t="n"/>
      <c r="C612" s="4" t="n"/>
      <c r="D612" s="4" t="n"/>
      <c r="E612" s="4" t="n"/>
      <c r="F612" s="4" t="n"/>
      <c r="G612" s="4" t="n"/>
    </row>
    <row r="613" ht="25" customHeight="1">
      <c r="A613" s="23" t="inlineStr">
        <is>
          <t>Исходная программа ЗИКС ↗</t>
        </is>
      </c>
      <c r="D613" s="23" t="inlineStr">
        <is>
          <t>Исходный УТП ЗИКС ↗</t>
        </is>
      </c>
    </row>
    <row r="614" ht="27" customHeight="1">
      <c r="A614" s="20" t="inlineStr">
        <is>
          <t>Вариант для: ЗИОЗ</t>
        </is>
      </c>
      <c r="B614" s="21" t="n"/>
      <c r="C614" s="21" t="n"/>
      <c r="D614" s="21" t="n"/>
      <c r="E614" s="21" t="n"/>
      <c r="F614" s="21" t="n"/>
      <c r="G614" s="21" t="n"/>
    </row>
    <row r="615" ht="32" customHeight="1">
      <c r="A615" s="22" t="inlineStr">
        <is>
          <t>Методология обеспечения кибербезопасности.</t>
        </is>
      </c>
      <c r="B615" s="2" t="n"/>
      <c r="C615" s="2" t="n"/>
      <c r="D615" s="2" t="n"/>
      <c r="E615" s="2" t="n"/>
      <c r="F615" s="2" t="n"/>
      <c r="G615" s="2" t="n"/>
    </row>
    <row r="616" ht="48" customHeight="1">
      <c r="A616"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16" s="2" t="n"/>
      <c r="C616" s="2" t="n"/>
      <c r="D616" s="2" t="n"/>
      <c r="E616" s="2" t="n"/>
      <c r="F616" s="2" t="n"/>
      <c r="G616" s="2" t="n"/>
    </row>
    <row r="617" ht="32" customHeight="1">
      <c r="A617" s="22" t="inlineStr">
        <is>
          <t>Законодательство в сфере обеспечения кибербезопасности.</t>
        </is>
      </c>
      <c r="B617" s="2" t="n"/>
      <c r="C617" s="2" t="n"/>
      <c r="D617" s="2" t="n"/>
      <c r="E617" s="2" t="n"/>
      <c r="F617" s="2" t="n"/>
      <c r="G617" s="2" t="n"/>
    </row>
    <row r="618" ht="96" customHeight="1">
      <c r="A618"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18" s="2" t="n"/>
      <c r="C618" s="2" t="n"/>
      <c r="D618" s="2" t="n"/>
      <c r="E618" s="2" t="n"/>
      <c r="F618" s="2" t="n"/>
      <c r="G618" s="2" t="n"/>
    </row>
    <row r="619" ht="32" customHeight="1">
      <c r="A619" s="22" t="inlineStr">
        <is>
          <t>Государственный контроль за обеспечением кибербезопасности.</t>
        </is>
      </c>
      <c r="B619" s="2" t="n"/>
      <c r="C619" s="2" t="n"/>
      <c r="D619" s="2" t="n"/>
      <c r="E619" s="2" t="n"/>
      <c r="F619" s="2" t="n"/>
      <c r="G619" s="2" t="n"/>
    </row>
    <row r="620" ht="64" customHeight="1">
      <c r="A620" s="22"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20" s="2" t="n"/>
      <c r="C620" s="2" t="n"/>
      <c r="D620" s="2" t="n"/>
      <c r="E620" s="2" t="n"/>
      <c r="F620" s="2" t="n"/>
      <c r="G620" s="2" t="n"/>
    </row>
    <row r="621" ht="32" customHeight="1">
      <c r="A621" s="22" t="inlineStr">
        <is>
          <t>Вопросы тематической дискуссии:</t>
        </is>
      </c>
      <c r="B621" s="2" t="n"/>
      <c r="C621" s="2" t="n"/>
      <c r="D621" s="2" t="n"/>
      <c r="E621" s="2" t="n"/>
      <c r="F621" s="2" t="n"/>
      <c r="G621" s="2" t="n"/>
    </row>
    <row r="622" ht="32" customHeight="1">
      <c r="A622" s="22" t="inlineStr">
        <is>
          <t>Роль государственного регулирования в формировании единого подхода к обеспечению кибербезопасности объектов информационной инфраструктуры.</t>
        </is>
      </c>
      <c r="B622" s="2" t="n"/>
      <c r="C622" s="2" t="n"/>
      <c r="D622" s="2" t="n"/>
      <c r="E622" s="2" t="n"/>
      <c r="F622" s="2" t="n"/>
      <c r="G622" s="2" t="n"/>
    </row>
    <row r="623" ht="32" customHeight="1">
      <c r="A623" s="22" t="inlineStr">
        <is>
          <t>Особенности применения требований законодательства Республики Беларусь при защите информации ограниченного распространения.</t>
        </is>
      </c>
      <c r="B623" s="2" t="n"/>
      <c r="C623" s="2" t="n"/>
      <c r="D623" s="2" t="n"/>
      <c r="E623" s="2" t="n"/>
      <c r="F623" s="2" t="n"/>
      <c r="G623" s="2" t="n"/>
    </row>
    <row r="624" ht="32" customHeight="1">
      <c r="A624" s="22" t="inlineStr">
        <is>
          <t>Практические аспекты лицензирования деятельности в области технической и криптографической защиты информации.</t>
        </is>
      </c>
      <c r="B624" s="2" t="n"/>
      <c r="C624" s="2" t="n"/>
      <c r="D624" s="2" t="n"/>
      <c r="E624" s="2" t="n"/>
      <c r="F624" s="2" t="n"/>
      <c r="G624" s="2" t="n"/>
    </row>
    <row r="625" ht="32" customHeight="1">
      <c r="A625" s="22" t="inlineStr">
        <is>
          <t>Значение государственного контроля и ответственности субъектов в обеспечении устойчивости национальной системы кибербезопасности.</t>
        </is>
      </c>
      <c r="B625" s="2" t="n"/>
      <c r="C625" s="2" t="n"/>
      <c r="D625" s="2" t="n"/>
      <c r="E625" s="2" t="n"/>
      <c r="F625" s="2" t="n"/>
      <c r="G625" s="2" t="n"/>
    </row>
    <row r="626" ht="51" customHeight="1">
      <c r="A626" s="3" t="inlineStr">
        <is>
          <t>ЗИОЗ — Защита информационной инфраструктуры организаций здравоохранения
Раздел: Законодательство в области обеспечения кибербезопасности · УТП: таблица 2, строка 6</t>
        </is>
      </c>
      <c r="B626" s="4" t="n"/>
      <c r="C626" s="4" t="n"/>
      <c r="D626" s="4" t="n"/>
      <c r="E626" s="4" t="n"/>
      <c r="F626" s="4" t="n"/>
      <c r="G626" s="4" t="n"/>
    </row>
    <row r="627" ht="30" customHeight="1">
      <c r="A627" s="3" t="inlineStr">
        <is>
          <t>В программе: Тема 1. Государственное регулирование деятельности в области обеспечения кибербезопасности (3 часа лекции, 1 час тематическая дискуссия).</t>
        </is>
      </c>
      <c r="B627" s="4" t="n"/>
      <c r="C627" s="4" t="n"/>
      <c r="D627" s="4" t="n"/>
      <c r="E627" s="4" t="n"/>
      <c r="F627" s="4" t="n"/>
      <c r="G627" s="4" t="n"/>
    </row>
    <row r="628" ht="25" customHeight="1">
      <c r="A628" s="23" t="inlineStr">
        <is>
          <t>Исходная программа ЗИОЗ ↗</t>
        </is>
      </c>
      <c r="D628" s="23" t="inlineStr">
        <is>
          <t>Исходный УТП ЗИОЗ ↗</t>
        </is>
      </c>
    </row>
    <row r="629" ht="27" customHeight="1">
      <c r="A629" s="20" t="inlineStr">
        <is>
          <t>Вариант для: КВОИ</t>
        </is>
      </c>
      <c r="B629" s="21" t="n"/>
      <c r="C629" s="21" t="n"/>
      <c r="D629" s="21" t="n"/>
      <c r="E629" s="21" t="n"/>
      <c r="F629" s="21" t="n"/>
      <c r="G629" s="21" t="n"/>
    </row>
    <row r="630" ht="48" customHeight="1">
      <c r="A630"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30" s="2" t="n"/>
      <c r="C630" s="2" t="n"/>
      <c r="D630" s="2" t="n"/>
      <c r="E630" s="2" t="n"/>
      <c r="F630" s="2" t="n"/>
      <c r="G630" s="2" t="n"/>
    </row>
    <row r="631" ht="112" customHeight="1">
      <c r="A631"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 Алгоритм отнесения объекта информатизации, имеющего подчинённость государственному органу, к КВОИ. Алгоритм отнесения объекта информатизации, не имеющего подчинённости государственному органу, к КВОИ. Сроки исполнения документов, касающихся</t>
        </is>
      </c>
      <c r="B631" s="2" t="n"/>
      <c r="C631" s="2" t="n"/>
      <c r="D631" s="2" t="n"/>
      <c r="E631" s="2" t="n"/>
      <c r="F631" s="2" t="n"/>
      <c r="G631" s="2" t="n"/>
    </row>
    <row r="632" ht="32" customHeight="1">
      <c r="A632" s="22" t="inlineStr">
        <is>
          <t>процедуры отнесения. Образцы заключений о соответствии объекта информатизации критериям отнесения к КВОИ.</t>
        </is>
      </c>
      <c r="B632" s="2" t="n"/>
      <c r="C632" s="2" t="n"/>
      <c r="D632" s="2" t="n"/>
      <c r="E632" s="2" t="n"/>
      <c r="F632" s="2" t="n"/>
      <c r="G632" s="2" t="n"/>
    </row>
    <row r="633" ht="64" customHeight="1">
      <c r="A633" s="22" t="inlineStr">
        <is>
          <t>Контроль деятельности по технической и криптографической защите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33" s="2" t="n"/>
      <c r="C633" s="2" t="n"/>
      <c r="D633" s="2" t="n"/>
      <c r="E633" s="2" t="n"/>
      <c r="F633" s="2" t="n"/>
      <c r="G633" s="2" t="n"/>
    </row>
    <row r="634" ht="51" customHeight="1">
      <c r="A634" s="3" t="inlineStr">
        <is>
          <t>КВОИ — Кибербезопасность критически важных объектов информатизации
Раздел: Законодательство в области обеспечения кибербезопасности · УТП: таблица 2, строка 6</t>
        </is>
      </c>
      <c r="B634" s="4" t="n"/>
      <c r="C634" s="4" t="n"/>
      <c r="D634" s="4" t="n"/>
      <c r="E634" s="4" t="n"/>
      <c r="F634" s="4" t="n"/>
      <c r="G634" s="4" t="n"/>
    </row>
    <row r="635" ht="30" customHeight="1">
      <c r="A635" s="3" t="inlineStr">
        <is>
          <t>В программе: Тема 1. Государственное регулирование деятельности в области обеспечения кибербезопасности (4 часа лекции).</t>
        </is>
      </c>
      <c r="B635" s="4" t="n"/>
      <c r="C635" s="4" t="n"/>
      <c r="D635" s="4" t="n"/>
      <c r="E635" s="4" t="n"/>
      <c r="F635" s="4" t="n"/>
      <c r="G635" s="4" t="n"/>
    </row>
    <row r="636" ht="25" customHeight="1">
      <c r="A636" s="23" t="inlineStr">
        <is>
          <t>Исходная программа КВОИ ↗</t>
        </is>
      </c>
      <c r="D636" s="23" t="inlineStr">
        <is>
          <t>Исходный УТП КВОИ ↗</t>
        </is>
      </c>
    </row>
    <row r="637" ht="27" customHeight="1">
      <c r="A637" s="20" t="inlineStr">
        <is>
          <t>Вариант для: ККС</t>
        </is>
      </c>
      <c r="B637" s="21" t="n"/>
      <c r="C637" s="21" t="n"/>
      <c r="D637" s="21" t="n"/>
      <c r="E637" s="21" t="n"/>
      <c r="F637" s="21" t="n"/>
      <c r="G637" s="21" t="n"/>
    </row>
    <row r="638" ht="32" customHeight="1">
      <c r="A638" s="22" t="inlineStr">
        <is>
          <t>Законодательство в сфере обеспечения кибербезопасности.</t>
        </is>
      </c>
      <c r="B638" s="2" t="n"/>
      <c r="C638" s="2" t="n"/>
      <c r="D638" s="2" t="n"/>
      <c r="E638" s="2" t="n"/>
      <c r="F638" s="2" t="n"/>
      <c r="G638" s="2" t="n"/>
    </row>
    <row r="639" ht="96" customHeight="1">
      <c r="A639"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39" s="2" t="n"/>
      <c r="C639" s="2" t="n"/>
      <c r="D639" s="2" t="n"/>
      <c r="E639" s="2" t="n"/>
      <c r="F639" s="2" t="n"/>
      <c r="G639" s="2" t="n"/>
    </row>
    <row r="640" ht="32" customHeight="1">
      <c r="A640" s="22" t="inlineStr">
        <is>
          <t>Государственный контроль за обеспечением кибербезопасности.</t>
        </is>
      </c>
      <c r="B640" s="2" t="n"/>
      <c r="C640" s="2" t="n"/>
      <c r="D640" s="2" t="n"/>
      <c r="E640" s="2" t="n"/>
      <c r="F640" s="2" t="n"/>
      <c r="G640" s="2" t="n"/>
    </row>
    <row r="641" ht="32" customHeight="1">
      <c r="A641" s="22" t="inlineStr">
        <is>
          <t>Контроль деятельности по технической и криптографической защите информации. Плановый и внеплановый контроль.</t>
        </is>
      </c>
      <c r="B641" s="2" t="n"/>
      <c r="C641" s="2" t="n"/>
      <c r="D641" s="2" t="n"/>
      <c r="E641" s="2" t="n"/>
      <c r="F641" s="2" t="n"/>
      <c r="G641" s="2" t="n"/>
    </row>
    <row r="642" ht="32" customHeight="1">
      <c r="A642" s="22" t="inlineStr">
        <is>
          <t>Вопросы круглого стола:</t>
        </is>
      </c>
      <c r="B642" s="2" t="n"/>
      <c r="C642" s="2" t="n"/>
      <c r="D642" s="2" t="n"/>
      <c r="E642" s="2" t="n"/>
      <c r="F642" s="2" t="n"/>
      <c r="G642" s="2" t="n"/>
    </row>
    <row r="643" ht="32" customHeight="1">
      <c r="A643" s="22" t="inlineStr">
        <is>
          <t>Виды административного воздействия на собственников (владельцев) объектов информационной инфраструктуры, иные виды ответственности.</t>
        </is>
      </c>
      <c r="B643" s="2" t="n"/>
      <c r="C643" s="2" t="n"/>
      <c r="D643" s="2" t="n"/>
      <c r="E643" s="2" t="n"/>
      <c r="F643" s="2" t="n"/>
      <c r="G643" s="2" t="n"/>
    </row>
    <row r="644" ht="32" customHeight="1">
      <c r="A644" s="22" t="inlineStr">
        <is>
          <t>Предписания об устранении выявленных нарушений и порядок их исполнения.</t>
        </is>
      </c>
      <c r="B644" s="2" t="n"/>
      <c r="C644" s="2" t="n"/>
      <c r="D644" s="2" t="n"/>
      <c r="E644" s="2" t="n"/>
      <c r="F644" s="2" t="n"/>
      <c r="G644" s="2" t="n"/>
    </row>
    <row r="645" ht="51" customHeight="1">
      <c r="A645"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7</t>
        </is>
      </c>
      <c r="B645" s="4" t="n"/>
      <c r="C645" s="4" t="n"/>
      <c r="D645" s="4" t="n"/>
      <c r="E645" s="4" t="n"/>
      <c r="F645" s="4" t="n"/>
      <c r="G645" s="4" t="n"/>
    </row>
    <row r="646" ht="30" customHeight="1">
      <c r="A646" s="3" t="inlineStr">
        <is>
          <t>В программе: Тема 2. Государственное регулирование деятельности в области обеспечения кибербезопасности в Республике Беларусь (2 часа лекции, 2 часа круглый стол).</t>
        </is>
      </c>
      <c r="B646" s="4" t="n"/>
      <c r="C646" s="4" t="n"/>
      <c r="D646" s="4" t="n"/>
      <c r="E646" s="4" t="n"/>
      <c r="F646" s="4" t="n"/>
      <c r="G646" s="4" t="n"/>
    </row>
    <row r="647" ht="25" customHeight="1">
      <c r="A647" s="23" t="inlineStr">
        <is>
          <t>Исходная программа ККС ↗</t>
        </is>
      </c>
      <c r="D647" s="23" t="inlineStr">
        <is>
          <t>Исходный УТП ККС ↗</t>
        </is>
      </c>
    </row>
    <row r="648" ht="27" customHeight="1">
      <c r="A648" s="20" t="inlineStr">
        <is>
          <t>Вариант для: КО</t>
        </is>
      </c>
      <c r="B648" s="21" t="n"/>
      <c r="C648" s="21" t="n"/>
      <c r="D648" s="21" t="n"/>
      <c r="E648" s="21" t="n"/>
      <c r="F648" s="21" t="n"/>
      <c r="G648" s="21" t="n"/>
    </row>
    <row r="649" ht="32" customHeight="1">
      <c r="A649" s="22" t="inlineStr">
        <is>
          <t>Методология обеспечения кибербезопасности.</t>
        </is>
      </c>
      <c r="B649" s="2" t="n"/>
      <c r="C649" s="2" t="n"/>
      <c r="D649" s="2" t="n"/>
      <c r="E649" s="2" t="n"/>
      <c r="F649" s="2" t="n"/>
      <c r="G649" s="2" t="n"/>
    </row>
    <row r="650" ht="32" customHeight="1">
      <c r="A650" s="22" t="inlineStr">
        <is>
          <t>Информация и формы ее представления. Распространение</t>
        </is>
      </c>
      <c r="B650" s="2" t="n"/>
      <c r="C650" s="2" t="n"/>
      <c r="D650" s="2" t="n"/>
      <c r="E650" s="2" t="n"/>
      <c r="F650" s="2" t="n"/>
      <c r="G650" s="2" t="n"/>
    </row>
    <row r="651" ht="48" customHeight="1">
      <c r="A651" s="22" t="inlineStr">
        <is>
          <t>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51" s="2" t="n"/>
      <c r="C651" s="2" t="n"/>
      <c r="D651" s="2" t="n"/>
      <c r="E651" s="2" t="n"/>
      <c r="F651" s="2" t="n"/>
      <c r="G651" s="2" t="n"/>
    </row>
    <row r="652" ht="32" customHeight="1">
      <c r="A652" s="22" t="inlineStr">
        <is>
          <t>Законодательство в сфере обеспечения кибербезопасности.</t>
        </is>
      </c>
      <c r="B652" s="2" t="n"/>
      <c r="C652" s="2" t="n"/>
      <c r="D652" s="2" t="n"/>
      <c r="E652" s="2" t="n"/>
      <c r="F652" s="2" t="n"/>
      <c r="G652" s="2" t="n"/>
    </row>
    <row r="653" ht="32" customHeight="1">
      <c r="A653" s="22" t="inlineStr">
        <is>
          <t>Законодательство Республики Беларусь в сфере обеспечения кибербезопасности. Защита информации, распространение</t>
        </is>
      </c>
      <c r="B653" s="2" t="n"/>
      <c r="C653" s="2" t="n"/>
      <c r="D653" s="2" t="n"/>
      <c r="E653" s="2" t="n"/>
      <c r="F653" s="2" t="n"/>
      <c r="G653" s="2" t="n"/>
    </row>
    <row r="654" ht="64" customHeight="1">
      <c r="A654" s="22" t="inlineStr">
        <is>
          <t>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Основания отнесения объектов информатизации к критически важным. Проектирование, создание</t>
        </is>
      </c>
      <c r="B654" s="2" t="n"/>
      <c r="C654" s="2" t="n"/>
      <c r="D654" s="2" t="n"/>
      <c r="E654" s="2" t="n"/>
      <c r="F654" s="2" t="n"/>
      <c r="G654" s="2" t="n"/>
    </row>
    <row r="655" ht="32" customHeight="1">
      <c r="A655" s="22" t="inlineStr">
        <is>
          <t>и аудит систем информационной безопасности критически важных</t>
        </is>
      </c>
      <c r="B655" s="2" t="n"/>
      <c r="C655" s="2" t="n"/>
      <c r="D655" s="2" t="n"/>
      <c r="E655" s="2" t="n"/>
      <c r="F655" s="2" t="n"/>
      <c r="G655" s="2" t="n"/>
    </row>
    <row r="656" ht="32" customHeight="1">
      <c r="A656" s="22" t="inlineStr">
        <is>
          <t>объектов информатизации.</t>
        </is>
      </c>
      <c r="B656" s="2" t="n"/>
      <c r="C656" s="2" t="n"/>
      <c r="D656" s="2" t="n"/>
      <c r="E656" s="2" t="n"/>
      <c r="F656" s="2" t="n"/>
      <c r="G656" s="2" t="n"/>
    </row>
    <row r="657" ht="32" customHeight="1">
      <c r="A657" s="22" t="inlineStr">
        <is>
          <t>Государственный контроль за обеспечением кибербезопасности.</t>
        </is>
      </c>
      <c r="B657" s="2" t="n"/>
      <c r="C657" s="2" t="n"/>
      <c r="D657" s="2" t="n"/>
      <c r="E657" s="2" t="n"/>
      <c r="F657" s="2" t="n"/>
      <c r="G657" s="2" t="n"/>
    </row>
    <row r="658" ht="64" customHeight="1">
      <c r="A658" s="22"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58" s="2" t="n"/>
      <c r="C658" s="2" t="n"/>
      <c r="D658" s="2" t="n"/>
      <c r="E658" s="2" t="n"/>
      <c r="F658" s="2" t="n"/>
      <c r="G658" s="2" t="n"/>
    </row>
    <row r="659" ht="51" customHeight="1">
      <c r="A659" s="3" t="inlineStr">
        <is>
          <t>КО — Кибербезопасность государственных и иных организаций
Раздел: Основы обеспечения кибербезопасности. Законодательство в области обеспечения кибербезопасности. · УТП: таблица 2, строка 6</t>
        </is>
      </c>
      <c r="B659" s="4" t="n"/>
      <c r="C659" s="4" t="n"/>
      <c r="D659" s="4" t="n"/>
      <c r="E659" s="4" t="n"/>
      <c r="F659" s="4" t="n"/>
      <c r="G659" s="4" t="n"/>
    </row>
    <row r="660" ht="30" customHeight="1">
      <c r="A660"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60" s="4" t="n"/>
      <c r="C660" s="4" t="n"/>
      <c r="D660" s="4" t="n"/>
      <c r="E660" s="4" t="n"/>
      <c r="F660" s="4" t="n"/>
      <c r="G660" s="4" t="n"/>
    </row>
    <row r="661" ht="25" customHeight="1">
      <c r="A661" s="23" t="inlineStr">
        <is>
          <t>Исходная программа КО ↗</t>
        </is>
      </c>
      <c r="D661" s="23" t="inlineStr">
        <is>
          <t>Исходный УТП КО ↗</t>
        </is>
      </c>
    </row>
    <row r="662" ht="27" customHeight="1">
      <c r="A662" s="20" t="inlineStr">
        <is>
          <t>Вариант для: ОКБО</t>
        </is>
      </c>
      <c r="B662" s="21" t="n"/>
      <c r="C662" s="21" t="n"/>
      <c r="D662" s="21" t="n"/>
      <c r="E662" s="21" t="n"/>
      <c r="F662" s="21" t="n"/>
      <c r="G662" s="21" t="n"/>
    </row>
    <row r="663" ht="96" customHeight="1">
      <c r="A663" s="22" t="inlineStr">
        <is>
          <t>Нормативные правовые акты в сфере информационной и кибербезопасности в Республике Беларусь. Защита информации, распространение и (или) предоставление которой ограничено, обязанности и права субъектов. Лицензирование деятельности в сфере защиты информации. Сертификация средств защиты информации. Аттестация информационных систем. Требования, предъявляемые нормативными правовыми актами к лицензированию деятельности в сфере защиты информации, сертификации средств защиты информации и аттестации информационных систем. Стандарты и организация системы сертификации на их основе средств защиты информации. Организация документооборота в сфере защиты информации.</t>
        </is>
      </c>
      <c r="B663" s="2" t="n"/>
      <c r="C663" s="2" t="n"/>
      <c r="D663" s="2" t="n"/>
      <c r="E663" s="2" t="n"/>
      <c r="F663" s="2" t="n"/>
      <c r="G663" s="2" t="n"/>
    </row>
    <row r="664" ht="48" customHeight="1">
      <c r="A664" s="22" t="inlineStr">
        <is>
          <t>Понятие концепции информационной безопасности, цели и задачи. Необходимость концепции. Объект защиты. Цели информационной безопасности. Угрозы: источники и уязвимости. Методы парирования угроз.</t>
        </is>
      </c>
      <c r="B664" s="2" t="n"/>
      <c r="C664" s="2" t="n"/>
      <c r="D664" s="2" t="n"/>
      <c r="E664" s="2" t="n"/>
      <c r="F664" s="2" t="n"/>
      <c r="G664" s="2" t="n"/>
    </row>
    <row r="665" ht="51" customHeight="1">
      <c r="A665"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7</t>
        </is>
      </c>
      <c r="B665" s="4" t="n"/>
      <c r="C665" s="4" t="n"/>
      <c r="D665" s="4" t="n"/>
      <c r="E665" s="4" t="n"/>
      <c r="F665" s="4" t="n"/>
      <c r="G665" s="4" t="n"/>
    </row>
    <row r="666" ht="30" customHeight="1">
      <c r="A666" s="3" t="inlineStr">
        <is>
          <t>В программе: Тема 2. Государственное регулирование деятельности в сфере обеспечения кибербезопасности (3 часа лекции).</t>
        </is>
      </c>
      <c r="B666" s="4" t="n"/>
      <c r="C666" s="4" t="n"/>
      <c r="D666" s="4" t="n"/>
      <c r="E666" s="4" t="n"/>
      <c r="F666" s="4" t="n"/>
      <c r="G666" s="4" t="n"/>
    </row>
    <row r="667" ht="25" customHeight="1">
      <c r="A667" s="23" t="inlineStr">
        <is>
          <t>Исходная программа ОКБО ↗</t>
        </is>
      </c>
      <c r="D667" s="23" t="inlineStr">
        <is>
          <t>Исходный УТП ОКБО ↗</t>
        </is>
      </c>
    </row>
    <row r="668" ht="27" customHeight="1">
      <c r="A668" s="20" t="inlineStr">
        <is>
          <t>Вариант для: ОКМ</t>
        </is>
      </c>
      <c r="B668" s="21" t="n"/>
      <c r="C668" s="21" t="n"/>
      <c r="D668" s="21" t="n"/>
      <c r="E668" s="21" t="n"/>
      <c r="F668" s="21" t="n"/>
      <c r="G668" s="21" t="n"/>
    </row>
    <row r="669" ht="32" customHeight="1">
      <c r="A669" s="22" t="inlineStr">
        <is>
          <t>Методология обеспечения кибербезопасности.</t>
        </is>
      </c>
      <c r="B669" s="2" t="n"/>
      <c r="C669" s="2" t="n"/>
      <c r="D669" s="2" t="n"/>
      <c r="E669" s="2" t="n"/>
      <c r="F669" s="2" t="n"/>
      <c r="G669" s="2" t="n"/>
    </row>
    <row r="670" ht="48" customHeight="1">
      <c r="A670"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670" s="2" t="n"/>
      <c r="C670" s="2" t="n"/>
      <c r="D670" s="2" t="n"/>
      <c r="E670" s="2" t="n"/>
      <c r="F670" s="2" t="n"/>
      <c r="G670" s="2" t="n"/>
    </row>
    <row r="671" ht="32" customHeight="1">
      <c r="A671" s="22" t="inlineStr">
        <is>
          <t>Законодательство в сфере обеспечения кибербезопасности.</t>
        </is>
      </c>
      <c r="B671" s="2" t="n"/>
      <c r="C671" s="2" t="n"/>
      <c r="D671" s="2" t="n"/>
      <c r="E671" s="2" t="n"/>
      <c r="F671" s="2" t="n"/>
      <c r="G671" s="2" t="n"/>
    </row>
    <row r="672" ht="96" customHeight="1">
      <c r="A672"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72" s="2" t="n"/>
      <c r="C672" s="2" t="n"/>
      <c r="D672" s="2" t="n"/>
      <c r="E672" s="2" t="n"/>
      <c r="F672" s="2" t="n"/>
      <c r="G672" s="2" t="n"/>
    </row>
    <row r="673" ht="32" customHeight="1">
      <c r="A673" s="22" t="inlineStr">
        <is>
          <t>Государственный контроль за обеспечением кибербезопасности.</t>
        </is>
      </c>
      <c r="B673" s="2" t="n"/>
      <c r="C673" s="2" t="n"/>
      <c r="D673" s="2" t="n"/>
      <c r="E673" s="2" t="n"/>
      <c r="F673" s="2" t="n"/>
      <c r="G673" s="2" t="n"/>
    </row>
    <row r="674" ht="64" customHeight="1">
      <c r="A674" s="22"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74" s="2" t="n"/>
      <c r="C674" s="2" t="n"/>
      <c r="D674" s="2" t="n"/>
      <c r="E674" s="2" t="n"/>
      <c r="F674" s="2" t="n"/>
      <c r="G674" s="2" t="n"/>
    </row>
    <row r="675" ht="51" customHeight="1">
      <c r="A675"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6</t>
        </is>
      </c>
      <c r="B675" s="4" t="n"/>
      <c r="C675" s="4" t="n"/>
      <c r="D675" s="4" t="n"/>
      <c r="E675" s="4" t="n"/>
      <c r="F675" s="4" t="n"/>
      <c r="G675" s="4" t="n"/>
    </row>
    <row r="676" ht="30" customHeight="1">
      <c r="A676"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76" s="4" t="n"/>
      <c r="C676" s="4" t="n"/>
      <c r="D676" s="4" t="n"/>
      <c r="E676" s="4" t="n"/>
      <c r="F676" s="4" t="n"/>
      <c r="G676" s="4" t="n"/>
    </row>
    <row r="677" ht="25" customHeight="1">
      <c r="A677" s="23" t="inlineStr">
        <is>
          <t>Исходная программа ОКМ ↗</t>
        </is>
      </c>
      <c r="D677" s="23" t="inlineStr">
        <is>
          <t>Исходный УТП ОКМ ↗</t>
        </is>
      </c>
    </row>
    <row r="678" ht="27" customHeight="1">
      <c r="A678" s="20" t="inlineStr">
        <is>
          <t>Вариант для: ОПКС</t>
        </is>
      </c>
      <c r="B678" s="21" t="n"/>
      <c r="C678" s="21" t="n"/>
      <c r="D678" s="21" t="n"/>
      <c r="E678" s="21" t="n"/>
      <c r="F678" s="21" t="n"/>
      <c r="G678" s="21" t="n"/>
    </row>
    <row r="679" ht="32" customHeight="1">
      <c r="A679" s="22" t="inlineStr">
        <is>
          <t>Законодательство в сфере обеспечения кибербезопасности.</t>
        </is>
      </c>
      <c r="B679" s="2" t="n"/>
      <c r="C679" s="2" t="n"/>
      <c r="D679" s="2" t="n"/>
      <c r="E679" s="2" t="n"/>
      <c r="F679" s="2" t="n"/>
      <c r="G679" s="2" t="n"/>
    </row>
    <row r="680" ht="96" customHeight="1">
      <c r="A680"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80" s="2" t="n"/>
      <c r="C680" s="2" t="n"/>
      <c r="D680" s="2" t="n"/>
      <c r="E680" s="2" t="n"/>
      <c r="F680" s="2" t="n"/>
      <c r="G680" s="2" t="n"/>
    </row>
    <row r="681" ht="32" customHeight="1">
      <c r="A681" s="22" t="inlineStr">
        <is>
          <t>Государственный контроль за обеспечением кибербезопасности.</t>
        </is>
      </c>
      <c r="B681" s="2" t="n"/>
      <c r="C681" s="2" t="n"/>
      <c r="D681" s="2" t="n"/>
      <c r="E681" s="2" t="n"/>
      <c r="F681" s="2" t="n"/>
      <c r="G681" s="2" t="n"/>
    </row>
    <row r="682" ht="64" customHeight="1">
      <c r="A682" s="22" t="inlineStr">
        <is>
          <t>Контроль за деятельностью в области технической и криптографической защиты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82" s="2" t="n"/>
      <c r="C682" s="2" t="n"/>
      <c r="D682" s="2" t="n"/>
      <c r="E682" s="2" t="n"/>
      <c r="F682" s="2" t="n"/>
      <c r="G682" s="2" t="n"/>
    </row>
    <row r="683" ht="51" customHeight="1">
      <c r="A683"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18</t>
        </is>
      </c>
      <c r="B683" s="4" t="n"/>
      <c r="C683" s="4" t="n"/>
      <c r="D683" s="4" t="n"/>
      <c r="E683" s="4" t="n"/>
      <c r="F683" s="4" t="n"/>
      <c r="G683" s="4" t="n"/>
    </row>
    <row r="684" ht="30" customHeight="1">
      <c r="A684"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84" s="4" t="n"/>
      <c r="C684" s="4" t="n"/>
      <c r="D684" s="4" t="n"/>
      <c r="E684" s="4" t="n"/>
      <c r="F684" s="4" t="n"/>
      <c r="G684" s="4" t="n"/>
    </row>
    <row r="685" ht="25" customHeight="1">
      <c r="A685" s="23" t="inlineStr">
        <is>
          <t>Исходная программа ОПКС ↗</t>
        </is>
      </c>
      <c r="D685" s="23" t="inlineStr">
        <is>
          <t>Исходный УТП ОПКС ↗</t>
        </is>
      </c>
    </row>
    <row r="686" ht="27" customHeight="1">
      <c r="A686" s="20" t="inlineStr">
        <is>
          <t>Вариант для: ТК</t>
        </is>
      </c>
      <c r="B686" s="21" t="n"/>
      <c r="C686" s="21" t="n"/>
      <c r="D686" s="21" t="n"/>
      <c r="E686" s="21" t="n"/>
      <c r="F686" s="21" t="n"/>
      <c r="G686" s="21" t="n"/>
    </row>
    <row r="687" ht="32" customHeight="1">
      <c r="A687" s="22" t="inlineStr">
        <is>
          <t>Законодательство в сфере обеспечения кибербезопасности.</t>
        </is>
      </c>
      <c r="B687" s="2" t="n"/>
      <c r="C687" s="2" t="n"/>
      <c r="D687" s="2" t="n"/>
      <c r="E687" s="2" t="n"/>
      <c r="F687" s="2" t="n"/>
      <c r="G687" s="2" t="n"/>
    </row>
    <row r="688" ht="96" customHeight="1">
      <c r="A688"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688" s="2" t="n"/>
      <c r="C688" s="2" t="n"/>
      <c r="D688" s="2" t="n"/>
      <c r="E688" s="2" t="n"/>
      <c r="F688" s="2" t="n"/>
      <c r="G688" s="2" t="n"/>
    </row>
    <row r="689" ht="32" customHeight="1">
      <c r="A689" s="22" t="inlineStr">
        <is>
          <t>Государственный контроль за обеспечением кибербезопасности.</t>
        </is>
      </c>
      <c r="B689" s="2" t="n"/>
      <c r="C689" s="2" t="n"/>
      <c r="D689" s="2" t="n"/>
      <c r="E689" s="2" t="n"/>
      <c r="F689" s="2" t="n"/>
      <c r="G689" s="2" t="n"/>
    </row>
    <row r="690" ht="64" customHeight="1">
      <c r="A690" s="22" t="inlineStr">
        <is>
          <t>Контроль деятельности за технической и криптографической защитой информации. Плановый и внеплановый контроль. Виды административного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690" s="2" t="n"/>
      <c r="C690" s="2" t="n"/>
      <c r="D690" s="2" t="n"/>
      <c r="E690" s="2" t="n"/>
      <c r="F690" s="2" t="n"/>
      <c r="G690" s="2" t="n"/>
    </row>
    <row r="691" ht="51" customHeight="1">
      <c r="A691" s="3" t="inlineStr">
        <is>
          <t>ТК — Технологии кибербезопасности: от spoofing-атак до VPN и межсетевых экранов
Раздел: Законодательство в области обеспечения кибербезопасности · УТП: таблица 2, строка 6</t>
        </is>
      </c>
      <c r="B691" s="4" t="n"/>
      <c r="C691" s="4" t="n"/>
      <c r="D691" s="4" t="n"/>
      <c r="E691" s="4" t="n"/>
      <c r="F691" s="4" t="n"/>
      <c r="G691" s="4" t="n"/>
    </row>
    <row r="692" ht="30" customHeight="1">
      <c r="A692" s="3" t="inlineStr">
        <is>
          <t>В программе: Тема 1. Государственное регулирование деятельности в области обеспечения кибербезопасности в Республике Беларусь (4 часа лекции).</t>
        </is>
      </c>
      <c r="B692" s="4" t="n"/>
      <c r="C692" s="4" t="n"/>
      <c r="D692" s="4" t="n"/>
      <c r="E692" s="4" t="n"/>
      <c r="F692" s="4" t="n"/>
      <c r="G692" s="4" t="n"/>
    </row>
    <row r="693" ht="25" customHeight="1">
      <c r="A693" s="23" t="inlineStr">
        <is>
          <t>Исходная программа ТК ↗</t>
        </is>
      </c>
      <c r="D693" s="23" t="inlineStr">
        <is>
          <t>Исходный УТП ТК ↗</t>
        </is>
      </c>
    </row>
    <row r="694" ht="27" customHeight="1">
      <c r="A694" s="24">
        <f>HYPERLINK("#'Выбор тем'!E"&amp;MATCH("T-F8DB456A",'Выбор тем'!$A:$A,0),"← Вернуться к теме")</f>
        <v/>
      </c>
    </row>
    <row r="696" ht="48" customHeight="1">
      <c r="A696" s="18" t="inlineStr">
        <is>
          <t>Государственное регулирование деятельности в области обеспечения кибербезопасности. Национальная система обеспечения кибербезопасности</t>
        </is>
      </c>
      <c r="B696" s="19" t="n"/>
      <c r="C696" s="19" t="n"/>
      <c r="D696" s="19" t="n"/>
      <c r="E696" s="19" t="n"/>
      <c r="F696" s="19" t="n"/>
      <c r="G696" s="19" t="n"/>
    </row>
    <row r="697" ht="26" customHeight="1">
      <c r="A697" s="3" t="inlineStr">
        <is>
          <t>T-2A62E6AC · Программы: ТЗПД</t>
        </is>
      </c>
      <c r="B697" s="4" t="n"/>
      <c r="C697" s="4" t="n"/>
      <c r="D697" s="4" t="n"/>
      <c r="E697" s="4" t="n"/>
      <c r="F697" s="4" t="n"/>
      <c r="G697" s="4" t="n"/>
    </row>
    <row r="698" ht="27" customHeight="1">
      <c r="A698" s="20" t="inlineStr">
        <is>
          <t>Вариант для: ТЗПД</t>
        </is>
      </c>
      <c r="B698" s="21" t="n"/>
      <c r="C698" s="21" t="n"/>
      <c r="D698" s="21" t="n"/>
      <c r="E698" s="21" t="n"/>
      <c r="F698" s="21" t="n"/>
      <c r="G698" s="21" t="n"/>
    </row>
    <row r="699" ht="32" customHeight="1">
      <c r="A699" s="22" t="inlineStr">
        <is>
          <t>Методология обеспечения кибербезопасности.</t>
        </is>
      </c>
      <c r="B699" s="2" t="n"/>
      <c r="C699" s="2" t="n"/>
      <c r="D699" s="2" t="n"/>
      <c r="E699" s="2" t="n"/>
      <c r="F699" s="2" t="n"/>
      <c r="G699" s="2" t="n"/>
    </row>
    <row r="700" ht="48" customHeight="1">
      <c r="A700"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700" s="2" t="n"/>
      <c r="C700" s="2" t="n"/>
      <c r="D700" s="2" t="n"/>
      <c r="E700" s="2" t="n"/>
      <c r="F700" s="2" t="n"/>
      <c r="G700" s="2" t="n"/>
    </row>
    <row r="701" ht="32" customHeight="1">
      <c r="A701" s="22" t="inlineStr">
        <is>
          <t>Законодательство в сфере обеспечения кибербезопасности.</t>
        </is>
      </c>
      <c r="B701" s="2" t="n"/>
      <c r="C701" s="2" t="n"/>
      <c r="D701" s="2" t="n"/>
      <c r="E701" s="2" t="n"/>
      <c r="F701" s="2" t="n"/>
      <c r="G701" s="2" t="n"/>
    </row>
    <row r="702" ht="96" customHeight="1">
      <c r="A702" s="22" t="inlineStr">
        <is>
          <t>Законодательство Республики Беларусь в сфере обеспечения кибербезопасности. Защита информации, распространение и (или) предоставление которой ограничено, обязанности и права субъектов. Лицензирование деятельности в области технической и криптографической защиты информации. Подтверждение соответствия средств защиты информации. Проектирование, создание и аттестация систем защиты информации информационных систем. Требования по кибербезопасности объектов информационной инфраструктуры. Основания отнесения объектов информатизации к критически важным. Проектирование, создание и аудит систем информационной безопасности критически важных объектов информатизации.</t>
        </is>
      </c>
      <c r="B702" s="2" t="n"/>
      <c r="C702" s="2" t="n"/>
      <c r="D702" s="2" t="n"/>
      <c r="E702" s="2" t="n"/>
      <c r="F702" s="2" t="n"/>
      <c r="G702" s="2" t="n"/>
    </row>
    <row r="703" ht="32" customHeight="1">
      <c r="A703" s="22" t="inlineStr">
        <is>
          <t>Государственный контроль за обеспечением кибербезопасности.</t>
        </is>
      </c>
      <c r="B703" s="2" t="n"/>
      <c r="C703" s="2" t="n"/>
      <c r="D703" s="2" t="n"/>
      <c r="E703" s="2" t="n"/>
      <c r="F703" s="2" t="n"/>
      <c r="G703" s="2" t="n"/>
    </row>
    <row r="704" ht="64" customHeight="1">
      <c r="A704" s="22" t="inlineStr">
        <is>
          <t>Контроль деятельности за технической и криптографической защитой информации. Плановый и внеплановый контроль. Виды административного и иного воздействия на собственников (владельцев) объектов информационной инфраструктуры, иные виды ответственности. Предписания об устранении выявленных нарушений и порядок их исполнения.</t>
        </is>
      </c>
      <c r="B704" s="2" t="n"/>
      <c r="C704" s="2" t="n"/>
      <c r="D704" s="2" t="n"/>
      <c r="E704" s="2" t="n"/>
      <c r="F704" s="2" t="n"/>
      <c r="G704" s="2" t="n"/>
    </row>
    <row r="705" ht="32" customHeight="1">
      <c r="A705" s="22" t="inlineStr">
        <is>
          <t>Национальная система обеспечения кибербезопасности.</t>
        </is>
      </c>
      <c r="B705" s="2" t="n"/>
      <c r="C705" s="2" t="n"/>
      <c r="D705" s="2" t="n"/>
      <c r="E705" s="2" t="n"/>
      <c r="F705" s="2" t="n"/>
      <c r="G705" s="2" t="n"/>
    </row>
    <row r="706" ht="32" customHeight="1">
      <c r="A706" s="22" t="inlineStr">
        <is>
          <t>Структура и задачи национальной системы обеспечения кибербезопасности.</t>
        </is>
      </c>
      <c r="B706" s="2" t="n"/>
      <c r="C706" s="2" t="n"/>
      <c r="D706" s="2" t="n"/>
      <c r="E706" s="2" t="n"/>
      <c r="F706" s="2" t="n"/>
      <c r="G706" s="2" t="n"/>
    </row>
    <row r="707" ht="80" customHeight="1">
      <c r="A707" s="22"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707" s="2" t="n"/>
      <c r="C707" s="2" t="n"/>
      <c r="D707" s="2" t="n"/>
      <c r="E707" s="2" t="n"/>
      <c r="F707" s="2" t="n"/>
      <c r="G707" s="2" t="n"/>
    </row>
    <row r="708" ht="80" customHeight="1">
      <c r="A708" s="22" t="inlineStr">
        <is>
          <t>Информационное взаимодействие элементов национальной системы обеспечения кибербезопасности. 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 с иностранными организациями.</t>
        </is>
      </c>
      <c r="B708" s="2" t="n"/>
      <c r="C708" s="2" t="n"/>
      <c r="D708" s="2" t="n"/>
      <c r="E708" s="2" t="n"/>
      <c r="F708" s="2" t="n"/>
      <c r="G708" s="2" t="n"/>
    </row>
    <row r="709" ht="32" customHeight="1">
      <c r="A709" s="22" t="inlineStr">
        <is>
          <t>Вопросы тематической дискуссии:</t>
        </is>
      </c>
      <c r="B709" s="2" t="n"/>
      <c r="C709" s="2" t="n"/>
      <c r="D709" s="2" t="n"/>
      <c r="E709" s="2" t="n"/>
      <c r="F709" s="2" t="n"/>
      <c r="G709" s="2" t="n"/>
    </row>
    <row r="710" ht="32" customHeight="1">
      <c r="A710" s="22" t="inlineStr">
        <is>
          <t>Особенности организации информационного взаимодействия субъектов национальной системы обеспечения кибербезопасности.</t>
        </is>
      </c>
      <c r="B710" s="2" t="n"/>
      <c r="C710" s="2" t="n"/>
      <c r="D710" s="2" t="n"/>
      <c r="E710" s="2" t="n"/>
      <c r="F710" s="2" t="n"/>
      <c r="G710" s="2" t="n"/>
    </row>
    <row r="711" ht="32" customHeight="1">
      <c r="A711" s="22" t="inlineStr">
        <is>
          <t>Практические аспекты предоставления сведений о киберинцидентах, состоянии технической и криптографической защиты информации.</t>
        </is>
      </c>
      <c r="B711" s="2" t="n"/>
      <c r="C711" s="2" t="n"/>
      <c r="D711" s="2" t="n"/>
      <c r="E711" s="2" t="n"/>
      <c r="F711" s="2" t="n"/>
      <c r="G711" s="2" t="n"/>
    </row>
    <row r="712" ht="32" customHeight="1">
      <c r="A712" s="22" t="inlineStr">
        <is>
          <t>Риски несвоевременного или неполного обмена информацией при выявлении и реагировании на киберинциденты.</t>
        </is>
      </c>
      <c r="B712" s="2" t="n"/>
      <c r="C712" s="2" t="n"/>
      <c r="D712" s="2" t="n"/>
      <c r="E712" s="2" t="n"/>
      <c r="F712" s="2" t="n"/>
      <c r="G712" s="2" t="n"/>
    </row>
    <row r="713" ht="32" customHeight="1">
      <c r="A713" s="22" t="inlineStr">
        <is>
          <t>Роль центров кибербезопасности в координации информационного взаимодействия и повышении устойчивости объектов информационной инфраструктуры.</t>
        </is>
      </c>
      <c r="B713" s="2" t="n"/>
      <c r="C713" s="2" t="n"/>
      <c r="D713" s="2" t="n"/>
      <c r="E713" s="2" t="n"/>
      <c r="F713" s="2" t="n"/>
      <c r="G713" s="2" t="n"/>
    </row>
    <row r="714" ht="51" customHeight="1">
      <c r="A714" s="3" t="inlineStr">
        <is>
          <t>ТЗПД — Техническая защита персональных данных
Раздел: Специальное законодательство · УТП: таблица 2, строка 6</t>
        </is>
      </c>
      <c r="B714" s="4" t="n"/>
      <c r="C714" s="4" t="n"/>
      <c r="D714" s="4" t="n"/>
      <c r="E714" s="4" t="n"/>
      <c r="F714" s="4" t="n"/>
      <c r="G714" s="4" t="n"/>
    </row>
    <row r="715" ht="46" customHeight="1">
      <c r="A715" s="3" t="inlineStr">
        <is>
          <t>В программе: Тема 1. Государственное регулирование деятельности в области обеспечения кибербезопасности. Национальная система обеспечения кибербезопасности (5 часов лекции, 1 час тематическая дискуссия).</t>
        </is>
      </c>
      <c r="B715" s="4" t="n"/>
      <c r="C715" s="4" t="n"/>
      <c r="D715" s="4" t="n"/>
      <c r="E715" s="4" t="n"/>
      <c r="F715" s="4" t="n"/>
      <c r="G715" s="4" t="n"/>
    </row>
    <row r="716" ht="25" customHeight="1">
      <c r="A716" s="23" t="inlineStr">
        <is>
          <t>Исходная программа ТЗПД ↗</t>
        </is>
      </c>
      <c r="D716" s="23" t="inlineStr">
        <is>
          <t>Исходный УТП ТЗПД ↗</t>
        </is>
      </c>
    </row>
    <row r="717" ht="27" customHeight="1">
      <c r="A717" s="24">
        <f>HYPERLINK("#'Выбор тем'!E"&amp;MATCH("T-2A62E6AC",'Выбор тем'!$A:$A,0),"← Вернуться к теме")</f>
        <v/>
      </c>
    </row>
    <row r="719" ht="38" customHeight="1">
      <c r="A719" s="18" t="inlineStr">
        <is>
          <t>Государственное регулирование деятельности в сфере обеспечения информационной безопасности</t>
        </is>
      </c>
      <c r="B719" s="19" t="n"/>
      <c r="C719" s="19" t="n"/>
      <c r="D719" s="19" t="n"/>
      <c r="E719" s="19" t="n"/>
      <c r="F719" s="19" t="n"/>
      <c r="G719" s="19" t="n"/>
    </row>
    <row r="720" ht="26" customHeight="1">
      <c r="A720" s="3" t="inlineStr">
        <is>
          <t>T-5B92E4D8 · Программы: ПСАЭ</t>
        </is>
      </c>
      <c r="B720" s="4" t="n"/>
      <c r="C720" s="4" t="n"/>
      <c r="D720" s="4" t="n"/>
      <c r="E720" s="4" t="n"/>
      <c r="F720" s="4" t="n"/>
      <c r="G720" s="4" t="n"/>
    </row>
    <row r="721" ht="27" customHeight="1">
      <c r="A721" s="20" t="inlineStr">
        <is>
          <t>Вариант для: ПСАЭ</t>
        </is>
      </c>
      <c r="B721" s="21" t="n"/>
      <c r="C721" s="21" t="n"/>
      <c r="D721" s="21" t="n"/>
      <c r="E721" s="21" t="n"/>
      <c r="F721" s="21" t="n"/>
      <c r="G721" s="21" t="n"/>
    </row>
    <row r="722" ht="96" customHeight="1">
      <c r="A722" s="22" t="inlineStr">
        <is>
          <t>Нормативные правовые акты в сфере информационной безопасности в Республике Беларусь. Защита информации, распространение и (или) предоставление которой ограничено, обязанности и права субъектов. Лицензирование деятельности в сфере защиты информации. Сертификация средств защиты информации. Аттестация информационных систем. Требования, предъявляемые нормативными правовыми актами к лицензированию деятельности в сфере защиты информации, сертификации средств защиты информации и аттестации информационных систем. Стандарты и организация системы сертификации на их основе средств защиты информации. Организация документооборота в сфере защиты информации.</t>
        </is>
      </c>
      <c r="B722" s="2" t="n"/>
      <c r="C722" s="2" t="n"/>
      <c r="D722" s="2" t="n"/>
      <c r="E722" s="2" t="n"/>
      <c r="F722" s="2" t="n"/>
      <c r="G722" s="2" t="n"/>
    </row>
    <row r="723" ht="48" customHeight="1">
      <c r="A723" s="22" t="inlineStr">
        <is>
          <t>Понятие концепции информационной безопасности, цели и задачи. Необходимость концепции. Объект защиты. Цели информационной безопасности. Угрозы – источники и уязвимости. Методы парирования угроз.</t>
        </is>
      </c>
      <c r="B723" s="2" t="n"/>
      <c r="C723" s="2" t="n"/>
      <c r="D723" s="2" t="n"/>
      <c r="E723" s="2" t="n"/>
      <c r="F723" s="2" t="n"/>
      <c r="G723" s="2" t="n"/>
    </row>
    <row r="724" ht="51" customHeight="1">
      <c r="A724" s="3" t="inlineStr">
        <is>
          <t>ПСАЭ — Проектирование, создание, аттестация и эксплуатация систем защиты информации
Раздел: Нормативное правовое регулирование вопросов информационной безопасности в Республике Беларусь · УТП: таблица 2, строка 6</t>
        </is>
      </c>
      <c r="B724" s="4" t="n"/>
      <c r="C724" s="4" t="n"/>
      <c r="D724" s="4" t="n"/>
      <c r="E724" s="4" t="n"/>
      <c r="F724" s="4" t="n"/>
      <c r="G724" s="4" t="n"/>
    </row>
    <row r="725" ht="30" customHeight="1">
      <c r="A725" s="3" t="inlineStr">
        <is>
          <t>В программе: Тема 1. Государственное регулирование деятельности в сфере обеспечения информационной безопасности (2 часа лекции).</t>
        </is>
      </c>
      <c r="B725" s="4" t="n"/>
      <c r="C725" s="4" t="n"/>
      <c r="D725" s="4" t="n"/>
      <c r="E725" s="4" t="n"/>
      <c r="F725" s="4" t="n"/>
      <c r="G725" s="4" t="n"/>
    </row>
    <row r="726" ht="25" customHeight="1">
      <c r="A726" s="23" t="inlineStr">
        <is>
          <t>Исходная программа ПСАЭ ↗</t>
        </is>
      </c>
      <c r="D726" s="23" t="inlineStr">
        <is>
          <t>Исходный УТП ПСАЭ ↗</t>
        </is>
      </c>
    </row>
    <row r="727" ht="27" customHeight="1">
      <c r="A727" s="24">
        <f>HYPERLINK("#'Выбор тем'!E"&amp;MATCH("T-5B92E4D8",'Выбор тем'!$A:$A,0),"← Вернуться к теме")</f>
        <v/>
      </c>
    </row>
    <row r="729" ht="38" customHeight="1">
      <c r="A729" s="18" t="inlineStr">
        <is>
          <t>Данные и подготовка данных</t>
        </is>
      </c>
      <c r="B729" s="19" t="n"/>
      <c r="C729" s="19" t="n"/>
      <c r="D729" s="19" t="n"/>
      <c r="E729" s="19" t="n"/>
      <c r="F729" s="19" t="n"/>
      <c r="G729" s="19" t="n"/>
    </row>
    <row r="730" ht="26" customHeight="1">
      <c r="A730" s="3" t="inlineStr">
        <is>
          <t>T-F0B120F4 · Программы: ПТИИМ</t>
        </is>
      </c>
      <c r="B730" s="4" t="n"/>
      <c r="C730" s="4" t="n"/>
      <c r="D730" s="4" t="n"/>
      <c r="E730" s="4" t="n"/>
      <c r="F730" s="4" t="n"/>
      <c r="G730" s="4" t="n"/>
    </row>
    <row r="731" ht="27" customHeight="1">
      <c r="A731" s="20" t="inlineStr">
        <is>
          <t>Вариант для: ПТИИМ</t>
        </is>
      </c>
      <c r="B731" s="21" t="n"/>
      <c r="C731" s="21" t="n"/>
      <c r="D731" s="21" t="n"/>
      <c r="E731" s="21" t="n"/>
      <c r="F731" s="21" t="n"/>
      <c r="G731" s="21" t="n"/>
    </row>
    <row r="732" ht="32" customHeight="1">
      <c r="A732" s="22" t="inlineStr">
        <is>
          <t>Роль данных в разработке и функционировании систем ИИ и машинного обучения.</t>
        </is>
      </c>
      <c r="B732" s="2" t="n"/>
      <c r="C732" s="2" t="n"/>
      <c r="D732" s="2" t="n"/>
      <c r="E732" s="2" t="n"/>
      <c r="F732" s="2" t="n"/>
      <c r="G732" s="2" t="n"/>
    </row>
    <row r="733" ht="48" customHeight="1">
      <c r="A733" s="22" t="inlineStr">
        <is>
          <t>Основные типы данных. Структурированные и неструктурированные данные, особенности их хранения, обработки и использования. Журналы событий, сетевой трафик и файлы как источники данных для решения задач информационной безопасности.</t>
        </is>
      </c>
      <c r="B733" s="2" t="n"/>
      <c r="C733" s="2" t="n"/>
      <c r="D733" s="2" t="n"/>
      <c r="E733" s="2" t="n"/>
      <c r="F733" s="2" t="n"/>
      <c r="G733" s="2" t="n"/>
    </row>
    <row r="734" ht="48" customHeight="1">
      <c r="A734" s="22" t="inlineStr">
        <is>
          <t>Критерии качества данных и влияние качества обучающей выборки на результаты работы модели. Пропущенные значения, шум, выбросы, ошибки разметки и дисбаланс классов.</t>
        </is>
      </c>
      <c r="B734" s="2" t="n"/>
      <c r="C734" s="2" t="n"/>
      <c r="D734" s="2" t="n"/>
      <c r="E734" s="2" t="n"/>
      <c r="F734" s="2" t="n"/>
      <c r="G734" s="2" t="n"/>
    </row>
    <row r="735" ht="48" customHeight="1">
      <c r="A735" s="22" t="inlineStr">
        <is>
          <t>Основные этапы предварительной обработки данных: сбор, объединение, очистка, преобразование и проверка. Нормализация и масштабирование числовых значений. Кодирование категориальных признаков.</t>
        </is>
      </c>
      <c r="B735" s="2" t="n"/>
      <c r="C735" s="2" t="n"/>
      <c r="D735" s="2" t="n"/>
      <c r="E735" s="2" t="n"/>
      <c r="F735" s="2" t="n"/>
      <c r="G735" s="2" t="n"/>
    </row>
    <row r="736" ht="48" customHeight="1">
      <c r="A736" s="22" t="inlineStr">
        <is>
          <t>Конструирование признаков (feature engineering) как процесс подготовки информативных характеристик для обучения модели. Выбор, преобразование и генерация признаков на основе исходных данных.</t>
        </is>
      </c>
      <c r="B736" s="2" t="n"/>
      <c r="C736" s="2" t="n"/>
      <c r="D736" s="2" t="n"/>
      <c r="E736" s="2" t="n"/>
      <c r="F736" s="2" t="n"/>
      <c r="G736" s="2" t="n"/>
    </row>
    <row r="737" ht="32" customHeight="1">
      <c r="A737" s="22" t="inlineStr">
        <is>
          <t>Методы снижения размерности данных, их назначение и влияние на производительность и качество моделей машинного обучения.</t>
        </is>
      </c>
      <c r="B737" s="2" t="n"/>
      <c r="C737" s="2" t="n"/>
      <c r="D737" s="2" t="n"/>
      <c r="E737" s="2" t="n"/>
      <c r="F737" s="2" t="n"/>
      <c r="G737" s="2" t="n"/>
    </row>
    <row r="738" ht="51" customHeight="1">
      <c r="A738"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9</t>
        </is>
      </c>
      <c r="B738" s="4" t="n"/>
      <c r="C738" s="4" t="n"/>
      <c r="D738" s="4" t="n"/>
      <c r="E738" s="4" t="n"/>
      <c r="F738" s="4" t="n"/>
      <c r="G738" s="4" t="n"/>
    </row>
    <row r="739" ht="30" customHeight="1">
      <c r="A739" s="3" t="inlineStr">
        <is>
          <t>В программе: Тема 4. Данные и подготовка данных (4 часа лекции).</t>
        </is>
      </c>
      <c r="B739" s="4" t="n"/>
      <c r="C739" s="4" t="n"/>
      <c r="D739" s="4" t="n"/>
      <c r="E739" s="4" t="n"/>
      <c r="F739" s="4" t="n"/>
      <c r="G739" s="4" t="n"/>
    </row>
    <row r="740" ht="25" customHeight="1">
      <c r="A740" s="23" t="inlineStr">
        <is>
          <t>Исходная программа ПТИИМ ↗</t>
        </is>
      </c>
      <c r="D740" s="23" t="inlineStr">
        <is>
          <t>Исходный УТП ПТИИМ ↗</t>
        </is>
      </c>
    </row>
    <row r="741" ht="27" customHeight="1">
      <c r="A741" s="24">
        <f>HYPERLINK("#'Выбор тем'!E"&amp;MATCH("T-F0B120F4",'Выбор тем'!$A:$A,0),"← Вернуться к теме")</f>
        <v/>
      </c>
    </row>
    <row r="743" ht="38" customHeight="1">
      <c r="A743" s="18" t="inlineStr">
        <is>
          <t>Динамическая маршрутизация: протоколы RIP, OSPF, EIGRP</t>
        </is>
      </c>
      <c r="B743" s="19" t="n"/>
      <c r="C743" s="19" t="n"/>
      <c r="D743" s="19" t="n"/>
      <c r="E743" s="19" t="n"/>
      <c r="F743" s="19" t="n"/>
      <c r="G743" s="19" t="n"/>
    </row>
    <row r="744" ht="26" customHeight="1">
      <c r="A744" s="3" t="inlineStr">
        <is>
          <t>T-50D84778 · Программы: ОКМ</t>
        </is>
      </c>
      <c r="B744" s="4" t="n"/>
      <c r="C744" s="4" t="n"/>
      <c r="D744" s="4" t="n"/>
      <c r="E744" s="4" t="n"/>
      <c r="F744" s="4" t="n"/>
      <c r="G744" s="4" t="n"/>
    </row>
    <row r="745" ht="27" customHeight="1">
      <c r="A745" s="20" t="inlineStr">
        <is>
          <t>Вариант для: ОКМ</t>
        </is>
      </c>
      <c r="B745" s="21" t="n"/>
      <c r="C745" s="21" t="n"/>
      <c r="D745" s="21" t="n"/>
      <c r="E745" s="21" t="n"/>
      <c r="F745" s="21" t="n"/>
      <c r="G745" s="21" t="n"/>
    </row>
    <row r="746" ht="96" customHeight="1">
      <c r="A746" s="22" t="inlineStr">
        <is>
          <t>Дистанционно-векторные протоколы маршрутизации: определения, алгоритмы, структура, формирование таблицы маршрутизации. Протоколы маршрутизации по состоянию канала. Типы сообщений протокола OSPFv2. Состояния маршрутизатора, использующего протокол OSPFv2, в процессе сходимости. Содержание сообщения протокола OSPFv2. Принципы выбора выделенного и резервного маршрутизаторов при маршрутизации по протоколу OSPFv2. Преимущества и недостатки протокола OSPFv2. Способы изменения метрики. Алгоритмы расчета метрик. Сравнение протоколов OSPFv2 и OSPFv3. Сравнительная характеристика протоколов RIP, OSPF, EIGRP в IPv4- и IPv6-сетях. Отличия RIPv1, RIPv2. Механизм обмена сообщениями по протоколу EIGRP.</t>
        </is>
      </c>
      <c r="B746" s="2" t="n"/>
      <c r="C746" s="2" t="n"/>
      <c r="D746" s="2" t="n"/>
      <c r="E746" s="2" t="n"/>
      <c r="F746" s="2" t="n"/>
      <c r="G746" s="2" t="n"/>
    </row>
    <row r="747" ht="51" customHeight="1">
      <c r="A747" s="3" t="inlineStr">
        <is>
          <t>ОКМ — Основы обеспечения кибербезопасности. маршрутизация. IPv4- и IPv6-адресация
Раздел: Маршрутизация. IPv4 и IPv6 адресация · УТП: таблица 2, строка 20</t>
        </is>
      </c>
      <c r="B747" s="4" t="n"/>
      <c r="C747" s="4" t="n"/>
      <c r="D747" s="4" t="n"/>
      <c r="E747" s="4" t="n"/>
      <c r="F747" s="4" t="n"/>
      <c r="G747" s="4" t="n"/>
    </row>
    <row r="748" ht="30" customHeight="1">
      <c r="A748" s="3" t="inlineStr">
        <is>
          <t>В программе: Тема 6. Динамическая маршрутизация: протоколы RIP, OSPF, EIGRP (2 часа лекции, 2 часа лабораторные занятия).</t>
        </is>
      </c>
      <c r="B748" s="4" t="n"/>
      <c r="C748" s="4" t="n"/>
      <c r="D748" s="4" t="n"/>
      <c r="E748" s="4" t="n"/>
      <c r="F748" s="4" t="n"/>
      <c r="G748" s="4" t="n"/>
    </row>
    <row r="749" ht="25" customHeight="1">
      <c r="A749" s="23" t="inlineStr">
        <is>
          <t>Исходная программа ОКМ ↗</t>
        </is>
      </c>
      <c r="D749" s="23" t="inlineStr">
        <is>
          <t>Исходный УТП ОКМ ↗</t>
        </is>
      </c>
    </row>
    <row r="750" ht="27" customHeight="1">
      <c r="A750" s="24">
        <f>HYPERLINK("#'Выбор тем'!E"&amp;MATCH("T-50D84778",'Выбор тем'!$A:$A,0),"← Вернуться к теме")</f>
        <v/>
      </c>
    </row>
    <row r="752" ht="38" customHeight="1">
      <c r="A752" s="18" t="inlineStr">
        <is>
          <t>Жизненный цикл инцидента</t>
        </is>
      </c>
      <c r="B752" s="19" t="n"/>
      <c r="C752" s="19" t="n"/>
      <c r="D752" s="19" t="n"/>
      <c r="E752" s="19" t="n"/>
      <c r="F752" s="19" t="n"/>
      <c r="G752" s="19" t="n"/>
    </row>
    <row r="753" ht="26" customHeight="1">
      <c r="A753" s="3" t="inlineStr">
        <is>
          <t>T-4004C45F · Программы: РКИОК</t>
        </is>
      </c>
      <c r="B753" s="4" t="n"/>
      <c r="C753" s="4" t="n"/>
      <c r="D753" s="4" t="n"/>
      <c r="E753" s="4" t="n"/>
      <c r="F753" s="4" t="n"/>
      <c r="G753" s="4" t="n"/>
    </row>
    <row r="754" ht="27" customHeight="1">
      <c r="A754" s="20" t="inlineStr">
        <is>
          <t>Вариант для: РКИОК</t>
        </is>
      </c>
      <c r="B754" s="21" t="n"/>
      <c r="C754" s="21" t="n"/>
      <c r="D754" s="21" t="n"/>
      <c r="E754" s="21" t="n"/>
      <c r="F754" s="21" t="n"/>
      <c r="G754" s="21" t="n"/>
    </row>
    <row r="755" ht="48" customHeight="1">
      <c r="A755" s="22" t="inlineStr">
        <is>
          <t>Этапы: обнаружение, классификация, анализ, локализация, устранение, восстановление. Определение процедур и временных рамок на каждом этапе. Важность документирования и последующего анализа для совершенствования процессов.</t>
        </is>
      </c>
      <c r="B755" s="2" t="n"/>
      <c r="C755" s="2" t="n"/>
      <c r="D755" s="2" t="n"/>
      <c r="E755" s="2" t="n"/>
      <c r="F755" s="2" t="n"/>
      <c r="G755" s="2" t="n"/>
    </row>
    <row r="756" ht="51" customHeight="1">
      <c r="A756" s="3" t="inlineStr">
        <is>
          <t>РКИОК — Реагирование на киберинциденты и отражение кибератак
Раздел: Автоматизация обработки инцидентов · УТП: таблица 2, строка 59</t>
        </is>
      </c>
      <c r="B756" s="4" t="n"/>
      <c r="C756" s="4" t="n"/>
      <c r="D756" s="4" t="n"/>
      <c r="E756" s="4" t="n"/>
      <c r="F756" s="4" t="n"/>
      <c r="G756" s="4" t="n"/>
    </row>
    <row r="757" ht="30" customHeight="1">
      <c r="A757" s="3" t="inlineStr">
        <is>
          <t>В программе: Тема 1. Жизненный цикл инцидента (1 час лекции).</t>
        </is>
      </c>
      <c r="B757" s="4" t="n"/>
      <c r="C757" s="4" t="n"/>
      <c r="D757" s="4" t="n"/>
      <c r="E757" s="4" t="n"/>
      <c r="F757" s="4" t="n"/>
      <c r="G757" s="4" t="n"/>
    </row>
    <row r="758" ht="25" customHeight="1">
      <c r="A758" s="23" t="inlineStr">
        <is>
          <t>Исходная программа РКИОК ↗</t>
        </is>
      </c>
      <c r="D758" s="23" t="inlineStr">
        <is>
          <t>Исходный УТП РКИОК ↗</t>
        </is>
      </c>
    </row>
    <row r="759" ht="27" customHeight="1">
      <c r="A759" s="24">
        <f>HYPERLINK("#'Выбор тем'!E"&amp;MATCH("T-4004C45F",'Выбор тем'!$A:$A,0),"← Вернуться к теме")</f>
        <v/>
      </c>
    </row>
    <row r="761" ht="38" customHeight="1">
      <c r="A761" s="18" t="inlineStr">
        <is>
          <t>Законодательство и нормативные документы в области информационной безопасности</t>
        </is>
      </c>
      <c r="B761" s="19" t="n"/>
      <c r="C761" s="19" t="n"/>
      <c r="D761" s="19" t="n"/>
      <c r="E761" s="19" t="n"/>
      <c r="F761" s="19" t="n"/>
      <c r="G761" s="19" t="n"/>
    </row>
    <row r="762" ht="26" customHeight="1">
      <c r="A762" s="3" t="inlineStr">
        <is>
          <t>T-9ADA674B · Программы: РКИОК</t>
        </is>
      </c>
      <c r="B762" s="4" t="n"/>
      <c r="C762" s="4" t="n"/>
      <c r="D762" s="4" t="n"/>
      <c r="E762" s="4" t="n"/>
      <c r="F762" s="4" t="n"/>
      <c r="G762" s="4" t="n"/>
    </row>
    <row r="763" ht="27" customHeight="1">
      <c r="A763" s="20" t="inlineStr">
        <is>
          <t>Вариант для: РКИОК</t>
        </is>
      </c>
      <c r="B763" s="21" t="n"/>
      <c r="C763" s="21" t="n"/>
      <c r="D763" s="21" t="n"/>
      <c r="E763" s="21" t="n"/>
      <c r="F763" s="21" t="n"/>
      <c r="G763" s="21" t="n"/>
    </row>
    <row r="764" ht="48" customHeight="1">
      <c r="A764" s="22" t="inlineStr">
        <is>
          <t>Обзор национальных законов, требований по защите данных. Международные стандарты и отраслевые регламенты (ISO/IEC 27001 и др.). Значение соблюдения нормативных требований для организаций.</t>
        </is>
      </c>
      <c r="B764" s="2" t="n"/>
      <c r="C764" s="2" t="n"/>
      <c r="D764" s="2" t="n"/>
      <c r="E764" s="2" t="n"/>
      <c r="F764" s="2" t="n"/>
      <c r="G764" s="2" t="n"/>
    </row>
    <row r="765" ht="51" customHeight="1">
      <c r="A765" s="3" t="inlineStr">
        <is>
          <t>РКИОК — Реагирование на киберинциденты и отражение кибератак
Раздел: Управление информационной безопасностью · УТП: таблица 2, строка 11</t>
        </is>
      </c>
      <c r="B765" s="4" t="n"/>
      <c r="C765" s="4" t="n"/>
      <c r="D765" s="4" t="n"/>
      <c r="E765" s="4" t="n"/>
      <c r="F765" s="4" t="n"/>
      <c r="G765" s="4" t="n"/>
    </row>
    <row r="766" ht="30" customHeight="1">
      <c r="A766" s="3" t="inlineStr">
        <is>
          <t>В программе: Тема 1. Законодательство и нормативные документы в области информационной безопасности (1 час лекции).</t>
        </is>
      </c>
      <c r="B766" s="4" t="n"/>
      <c r="C766" s="4" t="n"/>
      <c r="D766" s="4" t="n"/>
      <c r="E766" s="4" t="n"/>
      <c r="F766" s="4" t="n"/>
      <c r="G766" s="4" t="n"/>
    </row>
    <row r="767" ht="25" customHeight="1">
      <c r="A767" s="23" t="inlineStr">
        <is>
          <t>Исходная программа РКИОК ↗</t>
        </is>
      </c>
      <c r="D767" s="23" t="inlineStr">
        <is>
          <t>Исходный УТП РКИОК ↗</t>
        </is>
      </c>
    </row>
    <row r="768" ht="27" customHeight="1">
      <c r="A768" s="24">
        <f>HYPERLINK("#'Выбор тем'!E"&amp;MATCH("T-9ADA674B",'Выбор тем'!$A:$A,0),"← Вернуться к теме")</f>
        <v/>
      </c>
    </row>
    <row r="770" ht="38" customHeight="1">
      <c r="A770" s="18" t="inlineStr">
        <is>
          <t>Законодательство о персональных данных</t>
        </is>
      </c>
      <c r="B770" s="19" t="n"/>
      <c r="C770" s="19" t="n"/>
      <c r="D770" s="19" t="n"/>
      <c r="E770" s="19" t="n"/>
      <c r="F770" s="19" t="n"/>
      <c r="G770" s="19" t="n"/>
    </row>
    <row r="771" ht="26" customHeight="1">
      <c r="A771" s="3" t="inlineStr">
        <is>
          <t>T-B8B55CB7 · Программы: ТЗПД</t>
        </is>
      </c>
      <c r="B771" s="4" t="n"/>
      <c r="C771" s="4" t="n"/>
      <c r="D771" s="4" t="n"/>
      <c r="E771" s="4" t="n"/>
      <c r="F771" s="4" t="n"/>
      <c r="G771" s="4" t="n"/>
    </row>
    <row r="772" ht="27" customHeight="1">
      <c r="A772" s="20" t="inlineStr">
        <is>
          <t>Вариант для: ТЗПД</t>
        </is>
      </c>
      <c r="B772" s="21" t="n"/>
      <c r="C772" s="21" t="n"/>
      <c r="D772" s="21" t="n"/>
      <c r="E772" s="21" t="n"/>
      <c r="F772" s="21" t="n"/>
      <c r="G772" s="21" t="n"/>
    </row>
    <row r="773" ht="112" customHeight="1">
      <c r="A773" s="22" t="inlineStr">
        <is>
          <t>Закон Республики Беларусь от 07.05.2021 г. No 99-З «О защите персональных данных»: принципы и порядок работы с персональными данными. Понятие персональных данных и их категории. Обработка персональных данных. Цели и принципы обработки персональных данных. Понятие субъекта персональных данных и его права. Понятия «оператор» и «уполномоченное лицо». Отношения между оператором и уполномоченным лицом. Обязанности операторов и уполномоченных лиц. Меры по обеспечению защиты персональных данных. Защита персональных данных: специфика обеспечения. Согласие на обработку и основополагающие требования к организациям. Трансграничная передача персональных данных. Ответственность за нарушение Закона Республики Беларусь от 07.05.2021 No 99-З «О защите персональных данных».</t>
        </is>
      </c>
      <c r="B773" s="2" t="n"/>
      <c r="C773" s="2" t="n"/>
      <c r="D773" s="2" t="n"/>
      <c r="E773" s="2" t="n"/>
      <c r="F773" s="2" t="n"/>
      <c r="G773" s="2" t="n"/>
    </row>
    <row r="774" ht="64" customHeight="1">
      <c r="A774" s="22" t="inlineStr">
        <is>
          <t>Уполномоченный орган по защите прав субъектов персональных данных. Основные задачи и функции Национального центра защиты персональных данных Республики Беларусь (далее – НЦЗПД). Контрольные полномочия НЦЗПД. Рассмотрение жалоб субъектов персональных данных. Обязательное обучение для работников организаций. Отчетность операторов перед НЦЗПД.</t>
        </is>
      </c>
      <c r="B774" s="2" t="n"/>
      <c r="C774" s="2" t="n"/>
      <c r="D774" s="2" t="n"/>
      <c r="E774" s="2" t="n"/>
      <c r="F774" s="2" t="n"/>
      <c r="G774" s="2" t="n"/>
    </row>
    <row r="775" ht="51" customHeight="1">
      <c r="A775" s="3" t="inlineStr">
        <is>
          <t>ТЗПД — Техническая защита персональных данных
Раздел: Специальное законодательство · УТП: таблица 2, строка 7</t>
        </is>
      </c>
      <c r="B775" s="4" t="n"/>
      <c r="C775" s="4" t="n"/>
      <c r="D775" s="4" t="n"/>
      <c r="E775" s="4" t="n"/>
      <c r="F775" s="4" t="n"/>
      <c r="G775" s="4" t="n"/>
    </row>
    <row r="776" ht="30" customHeight="1">
      <c r="A776" s="3" t="inlineStr">
        <is>
          <t>В программе: Тема 2. Законодательство о персональных данных (2 часа лекции).</t>
        </is>
      </c>
      <c r="B776" s="4" t="n"/>
      <c r="C776" s="4" t="n"/>
      <c r="D776" s="4" t="n"/>
      <c r="E776" s="4" t="n"/>
      <c r="F776" s="4" t="n"/>
      <c r="G776" s="4" t="n"/>
    </row>
    <row r="777" ht="25" customHeight="1">
      <c r="A777" s="23" t="inlineStr">
        <is>
          <t>Исходная программа ТЗПД ↗</t>
        </is>
      </c>
      <c r="D777" s="23" t="inlineStr">
        <is>
          <t>Исходный УТП ТЗПД ↗</t>
        </is>
      </c>
    </row>
    <row r="778" ht="27" customHeight="1">
      <c r="A778" s="24">
        <f>HYPERLINK("#'Выбор тем'!E"&amp;MATCH("T-B8B55CB7",'Выбор тем'!$A:$A,0),"← Вернуться к теме")</f>
        <v/>
      </c>
    </row>
    <row r="780" ht="38" customHeight="1">
      <c r="A780" s="18" t="inlineStr">
        <is>
          <t>Защита от вредоносного программного обеспечения</t>
        </is>
      </c>
      <c r="B780" s="19" t="n"/>
      <c r="C780" s="19" t="n"/>
      <c r="D780" s="19" t="n"/>
      <c r="E780" s="19" t="n"/>
      <c r="F780" s="19" t="n"/>
      <c r="G780" s="19" t="n"/>
    </row>
    <row r="781" ht="26" customHeight="1">
      <c r="A781" s="3" t="inlineStr">
        <is>
          <t>T-DB38D0C5 · Программы: БКТ</t>
        </is>
      </c>
      <c r="B781" s="4" t="n"/>
      <c r="C781" s="4" t="n"/>
      <c r="D781" s="4" t="n"/>
      <c r="E781" s="4" t="n"/>
      <c r="F781" s="4" t="n"/>
      <c r="G781" s="4" t="n"/>
    </row>
    <row r="782" ht="27" customHeight="1">
      <c r="A782" s="20" t="inlineStr">
        <is>
          <t>Вариант для: БКТ</t>
        </is>
      </c>
      <c r="B782" s="21" t="n"/>
      <c r="C782" s="21" t="n"/>
      <c r="D782" s="21" t="n"/>
      <c r="E782" s="21" t="n"/>
      <c r="F782" s="21" t="n"/>
      <c r="G782" s="21" t="n"/>
    </row>
    <row r="783" ht="48" customHeight="1">
      <c r="A783" s="22" t="inlineStr">
        <is>
          <t>Программное обеспечение для защиты от воздействия вредоносных программ. Антивирусные продукты для рабочих станций. Антивирусные продукты для серверов. Антивирусные продукты для почтовых шлюзов. Вопросы организации центра управления антивирусной защитой корпоративной сети.</t>
        </is>
      </c>
      <c r="B783" s="2" t="n"/>
      <c r="C783" s="2" t="n"/>
      <c r="D783" s="2" t="n"/>
      <c r="E783" s="2" t="n"/>
      <c r="F783" s="2" t="n"/>
      <c r="G783" s="2" t="n"/>
    </row>
    <row r="784" ht="32" customHeight="1">
      <c r="A784" s="22" t="inlineStr">
        <is>
          <t>Вопросы круглого стола:</t>
        </is>
      </c>
      <c r="B784" s="2" t="n"/>
      <c r="C784" s="2" t="n"/>
      <c r="D784" s="2" t="n"/>
      <c r="E784" s="2" t="n"/>
      <c r="F784" s="2" t="n"/>
      <c r="G784" s="2" t="n"/>
    </row>
    <row r="785" ht="32" customHeight="1">
      <c r="A785" s="22" t="inlineStr">
        <is>
          <t>Современные тенденции развития вредоносных программ и совершенствование средств борьбы с ними.</t>
        </is>
      </c>
      <c r="B785" s="2" t="n"/>
      <c r="C785" s="2" t="n"/>
      <c r="D785" s="2" t="n"/>
      <c r="E785" s="2" t="n"/>
      <c r="F785" s="2" t="n"/>
      <c r="G785" s="2" t="n"/>
    </row>
    <row r="786" ht="32" customHeight="1">
      <c r="A786" s="22" t="inlineStr">
        <is>
          <t>Технологии, средства и решения по защите от вредоносных программ.</t>
        </is>
      </c>
      <c r="B786" s="2" t="n"/>
      <c r="C786" s="2" t="n"/>
      <c r="D786" s="2" t="n"/>
      <c r="E786" s="2" t="n"/>
      <c r="F786" s="2" t="n"/>
      <c r="G786" s="2" t="n"/>
    </row>
    <row r="787" ht="32" customHeight="1">
      <c r="A787" s="22" t="inlineStr">
        <is>
          <t>Использование специализированных информационных ресурсов.</t>
        </is>
      </c>
      <c r="B787" s="2" t="n"/>
      <c r="C787" s="2" t="n"/>
      <c r="D787" s="2" t="n"/>
      <c r="E787" s="2" t="n"/>
      <c r="F787" s="2" t="n"/>
      <c r="G787" s="2" t="n"/>
    </row>
    <row r="788" ht="51" customHeight="1">
      <c r="A788" s="3" t="inlineStr">
        <is>
          <t>БКТ — Безопасность компьютерных технологий
Раздел: Практические аспекты обеспечения кибербезопасности · УТП: таблица 2, строка 20</t>
        </is>
      </c>
      <c r="B788" s="4" t="n"/>
      <c r="C788" s="4" t="n"/>
      <c r="D788" s="4" t="n"/>
      <c r="E788" s="4" t="n"/>
      <c r="F788" s="4" t="n"/>
      <c r="G788" s="4" t="n"/>
    </row>
    <row r="789" ht="30" customHeight="1">
      <c r="A789" s="3" t="inlineStr">
        <is>
          <t>В программе: Тема 6. Защита от вредоносного программного обеспечения (2 часа лекции, 2 часа круглый стол).</t>
        </is>
      </c>
      <c r="B789" s="4" t="n"/>
      <c r="C789" s="4" t="n"/>
      <c r="D789" s="4" t="n"/>
      <c r="E789" s="4" t="n"/>
      <c r="F789" s="4" t="n"/>
      <c r="G789" s="4" t="n"/>
    </row>
    <row r="790" ht="25" customHeight="1">
      <c r="A790" s="23" t="inlineStr">
        <is>
          <t>Исходная программа БКТ ↗</t>
        </is>
      </c>
      <c r="D790" s="23" t="inlineStr">
        <is>
          <t>Исходный УТП БКТ ↗</t>
        </is>
      </c>
    </row>
    <row r="791" ht="27" customHeight="1">
      <c r="A791" s="24">
        <f>HYPERLINK("#'Выбор тем'!E"&amp;MATCH("T-DB38D0C5",'Выбор тем'!$A:$A,0),"← Вернуться к теме")</f>
        <v/>
      </c>
    </row>
    <row r="793" ht="38" customHeight="1">
      <c r="A793" s="18" t="inlineStr">
        <is>
          <t>Защита от вредоносных программ</t>
        </is>
      </c>
      <c r="B793" s="19" t="n"/>
      <c r="C793" s="19" t="n"/>
      <c r="D793" s="19" t="n"/>
      <c r="E793" s="19" t="n"/>
      <c r="F793" s="19" t="n"/>
      <c r="G793" s="19" t="n"/>
    </row>
    <row r="794" ht="26" customHeight="1">
      <c r="A794" s="3" t="inlineStr">
        <is>
          <t>T-8316B0A4 · Программы: ККС</t>
        </is>
      </c>
      <c r="B794" s="4" t="n"/>
      <c r="C794" s="4" t="n"/>
      <c r="D794" s="4" t="n"/>
      <c r="E794" s="4" t="n"/>
      <c r="F794" s="4" t="n"/>
      <c r="G794" s="4" t="n"/>
    </row>
    <row r="795" ht="27" customHeight="1">
      <c r="A795" s="20" t="inlineStr">
        <is>
          <t>Вариант для: ККС</t>
        </is>
      </c>
      <c r="B795" s="21" t="n"/>
      <c r="C795" s="21" t="n"/>
      <c r="D795" s="21" t="n"/>
      <c r="E795" s="21" t="n"/>
      <c r="F795" s="21" t="n"/>
      <c r="G795" s="21" t="n"/>
    </row>
    <row r="796" ht="32" customHeight="1">
      <c r="A796" s="22" t="inlineStr">
        <is>
          <t>Современные тенденции развития вредоносных программ и совершенствование средств борьбы с ними.</t>
        </is>
      </c>
      <c r="B796" s="2" t="n"/>
      <c r="C796" s="2" t="n"/>
      <c r="D796" s="2" t="n"/>
      <c r="E796" s="2" t="n"/>
      <c r="F796" s="2" t="n"/>
      <c r="G796" s="2" t="n"/>
    </row>
    <row r="797" ht="32" customHeight="1">
      <c r="A797" s="22" t="inlineStr">
        <is>
          <t>Вопросы круглого стола:</t>
        </is>
      </c>
      <c r="B797" s="2" t="n"/>
      <c r="C797" s="2" t="n"/>
      <c r="D797" s="2" t="n"/>
      <c r="E797" s="2" t="n"/>
      <c r="F797" s="2" t="n"/>
      <c r="G797" s="2" t="n"/>
    </row>
    <row r="798" ht="32" customHeight="1">
      <c r="A798" s="22" t="inlineStr">
        <is>
          <t>Последние вирусные эпидемии, их причины и последствия.</t>
        </is>
      </c>
      <c r="B798" s="2" t="n"/>
      <c r="C798" s="2" t="n"/>
      <c r="D798" s="2" t="n"/>
      <c r="E798" s="2" t="n"/>
      <c r="F798" s="2" t="n"/>
      <c r="G798" s="2" t="n"/>
    </row>
    <row r="799" ht="32" customHeight="1">
      <c r="A799" s="22" t="inlineStr">
        <is>
          <t>Технологии, средства и решения по защите от вирусных и других вредоносных программ.</t>
        </is>
      </c>
      <c r="B799" s="2" t="n"/>
      <c r="C799" s="2" t="n"/>
      <c r="D799" s="2" t="n"/>
      <c r="E799" s="2" t="n"/>
      <c r="F799" s="2" t="n"/>
      <c r="G799" s="2" t="n"/>
    </row>
    <row r="800" ht="32" customHeight="1">
      <c r="A800" s="22" t="inlineStr">
        <is>
          <t>Информационные ресурсы по защите от вредоносных программ.</t>
        </is>
      </c>
      <c r="B800" s="2" t="n"/>
      <c r="C800" s="2" t="n"/>
      <c r="D800" s="2" t="n"/>
      <c r="E800" s="2" t="n"/>
      <c r="F800" s="2" t="n"/>
      <c r="G800" s="2" t="n"/>
    </row>
    <row r="801" ht="32" customHeight="1">
      <c r="A801" s="22" t="inlineStr">
        <is>
          <t>Современное антивирусное программное обеспечение.</t>
        </is>
      </c>
      <c r="B801" s="2" t="n"/>
      <c r="C801" s="2" t="n"/>
      <c r="D801" s="2" t="n"/>
      <c r="E801" s="2" t="n"/>
      <c r="F801" s="2" t="n"/>
      <c r="G801" s="2" t="n"/>
    </row>
    <row r="802" ht="48" customHeight="1">
      <c r="A802" s="22" t="inlineStr">
        <is>
          <t>Антивирусные продукты для рабочих станций. Антивирусные продукты для серверов. Антивирусные продукты для почтовых шлюзов. Вопросы организации центра управления антивирусной защитой корпоративной сети.</t>
        </is>
      </c>
      <c r="B802" s="2" t="n"/>
      <c r="C802" s="2" t="n"/>
      <c r="D802" s="2" t="n"/>
      <c r="E802" s="2" t="n"/>
      <c r="F802" s="2" t="n"/>
      <c r="G802" s="2" t="n"/>
    </row>
    <row r="803" ht="51" customHeight="1">
      <c r="A803" s="3" t="inlineStr">
        <is>
          <t>ККС — Кибербезопасность корпоративных систем
Раздел: Технические меры по обеспечению кибербезопасности · УТП: таблица 2, строка 17</t>
        </is>
      </c>
      <c r="B803" s="4" t="n"/>
      <c r="C803" s="4" t="n"/>
      <c r="D803" s="4" t="n"/>
      <c r="E803" s="4" t="n"/>
      <c r="F803" s="4" t="n"/>
      <c r="G803" s="4" t="n"/>
    </row>
    <row r="804" ht="30" customHeight="1">
      <c r="A804" s="3" t="inlineStr">
        <is>
          <t>В программе: Тема 3. Защита от вредоносных программ (2 часа лекции, 2 часа круглый стол).</t>
        </is>
      </c>
      <c r="B804" s="4" t="n"/>
      <c r="C804" s="4" t="n"/>
      <c r="D804" s="4" t="n"/>
      <c r="E804" s="4" t="n"/>
      <c r="F804" s="4" t="n"/>
      <c r="G804" s="4" t="n"/>
    </row>
    <row r="805" ht="25" customHeight="1">
      <c r="A805" s="23" t="inlineStr">
        <is>
          <t>Исходная программа ККС ↗</t>
        </is>
      </c>
      <c r="D805" s="23" t="inlineStr">
        <is>
          <t>Исходный УТП ККС ↗</t>
        </is>
      </c>
    </row>
    <row r="806" ht="27" customHeight="1">
      <c r="A806" s="24">
        <f>HYPERLINK("#'Выбор тем'!E"&amp;MATCH("T-8316B0A4",'Выбор тем'!$A:$A,0),"← Вернуться к теме")</f>
        <v/>
      </c>
    </row>
    <row r="808" ht="38" customHeight="1">
      <c r="A808" s="18" t="inlineStr">
        <is>
          <t>Защищенные виртуальные частные сети VPN</t>
        </is>
      </c>
      <c r="B808" s="19" t="n"/>
      <c r="C808" s="19" t="n"/>
      <c r="D808" s="19" t="n"/>
      <c r="E808" s="19" t="n"/>
      <c r="F808" s="19" t="n"/>
      <c r="G808" s="19" t="n"/>
    </row>
    <row r="809" ht="26" customHeight="1">
      <c r="A809" s="3" t="inlineStr">
        <is>
          <t>T-5BF8DD35 · Программы: ЗИКС</t>
        </is>
      </c>
      <c r="B809" s="4" t="n"/>
      <c r="C809" s="4" t="n"/>
      <c r="D809" s="4" t="n"/>
      <c r="E809" s="4" t="n"/>
      <c r="F809" s="4" t="n"/>
      <c r="G809" s="4" t="n"/>
    </row>
    <row r="810" ht="27" customHeight="1">
      <c r="A810" s="20" t="inlineStr">
        <is>
          <t>Вариант для: ЗИКС</t>
        </is>
      </c>
      <c r="B810" s="21" t="n"/>
      <c r="C810" s="21" t="n"/>
      <c r="D810" s="21" t="n"/>
      <c r="E810" s="21" t="n"/>
      <c r="F810" s="21" t="n"/>
      <c r="G810" s="21" t="n"/>
    </row>
    <row r="811" ht="32" customHeight="1">
      <c r="A811" s="22" t="inlineStr">
        <is>
          <t>Защищенные виртуальные частные сети VPN.</t>
        </is>
      </c>
      <c r="B811" s="2" t="n"/>
      <c r="C811" s="2" t="n"/>
      <c r="D811" s="2" t="n"/>
      <c r="E811" s="2" t="n"/>
      <c r="F811" s="2" t="n"/>
      <c r="G811" s="2" t="n"/>
    </row>
    <row r="812" ht="48" customHeight="1">
      <c r="A812" s="22" t="inlineStr">
        <is>
          <t>Сетевая безопасность. Защищенные виртуальные частные сети VPN. Назначение, основные возможности, принципы функционирования. Протоколы VPN. Протокол IPsec, основные типы защищенных соединений. Основы криптографии, инфраструктура открытых ключей. Правовые аспекты.</t>
        </is>
      </c>
      <c r="B812" s="2" t="n"/>
      <c r="C812" s="2" t="n"/>
      <c r="D812" s="2" t="n"/>
      <c r="E812" s="2" t="n"/>
      <c r="F812" s="2" t="n"/>
      <c r="G812" s="2" t="n"/>
    </row>
    <row r="813" ht="32" customHeight="1">
      <c r="A813" s="22" t="inlineStr">
        <is>
          <t>Примеры построения VPN.</t>
        </is>
      </c>
      <c r="B813" s="2" t="n"/>
      <c r="C813" s="2" t="n"/>
      <c r="D813" s="2" t="n"/>
      <c r="E813" s="2" t="n"/>
      <c r="F813" s="2" t="n"/>
      <c r="G813" s="2" t="n"/>
    </row>
    <row r="814" ht="32" customHeight="1">
      <c r="A814" s="22" t="inlineStr">
        <is>
          <t>Сценарии сетевой защиты на примере применения сертифицированных в Республике Беларусь VPN продуктов.</t>
        </is>
      </c>
      <c r="B814" s="2" t="n"/>
      <c r="C814" s="2" t="n"/>
      <c r="D814" s="2" t="n"/>
      <c r="E814" s="2" t="n"/>
      <c r="F814" s="2" t="n"/>
      <c r="G814" s="2" t="n"/>
    </row>
    <row r="815" ht="51" customHeight="1">
      <c r="A815"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15</t>
        </is>
      </c>
      <c r="B815" s="4" t="n"/>
      <c r="C815" s="4" t="n"/>
      <c r="D815" s="4" t="n"/>
      <c r="E815" s="4" t="n"/>
      <c r="F815" s="4" t="n"/>
      <c r="G815" s="4" t="n"/>
    </row>
    <row r="816" ht="30" customHeight="1">
      <c r="A816" s="3" t="inlineStr">
        <is>
          <t>В программе: Тема 2. Защищенные виртуальные частные сети VPN (2 часа лекции, 2 часа круглый стол).</t>
        </is>
      </c>
      <c r="B816" s="4" t="n"/>
      <c r="C816" s="4" t="n"/>
      <c r="D816" s="4" t="n"/>
      <c r="E816" s="4" t="n"/>
      <c r="F816" s="4" t="n"/>
      <c r="G816" s="4" t="n"/>
    </row>
    <row r="817" ht="25" customHeight="1">
      <c r="A817" s="23" t="inlineStr">
        <is>
          <t>Исходная программа ЗИКС ↗</t>
        </is>
      </c>
      <c r="D817" s="23" t="inlineStr">
        <is>
          <t>Исходный УТП ЗИКС ↗</t>
        </is>
      </c>
    </row>
    <row r="818" ht="27" customHeight="1">
      <c r="A818" s="24">
        <f>HYPERLINK("#'Выбор тем'!E"&amp;MATCH("T-5BF8DD35",'Выбор тем'!$A:$A,0),"← Вернуться к теме")</f>
        <v/>
      </c>
    </row>
    <row r="820" ht="48" customHeight="1">
      <c r="A820" s="18" t="inlineStr">
        <is>
          <t>Знакомство с интерфейсами SOAR и TI-платформ (демо или песочница). Анализ реальных TI-отчетов (Mandiant, Recorded Future и др.)</t>
        </is>
      </c>
      <c r="B820" s="19" t="n"/>
      <c r="C820" s="19" t="n"/>
      <c r="D820" s="19" t="n"/>
      <c r="E820" s="19" t="n"/>
      <c r="F820" s="19" t="n"/>
      <c r="G820" s="19" t="n"/>
    </row>
    <row r="821" ht="26" customHeight="1">
      <c r="A821" s="3" t="inlineStr">
        <is>
          <t>T-BF124D0A · Программы: РКИОК</t>
        </is>
      </c>
      <c r="B821" s="4" t="n"/>
      <c r="C821" s="4" t="n"/>
      <c r="D821" s="4" t="n"/>
      <c r="E821" s="4" t="n"/>
      <c r="F821" s="4" t="n"/>
      <c r="G821" s="4" t="n"/>
    </row>
    <row r="822" ht="27" customHeight="1">
      <c r="A822" s="20" t="inlineStr">
        <is>
          <t>Вариант для: РКИОК</t>
        </is>
      </c>
      <c r="B822" s="21" t="n"/>
      <c r="C822" s="21" t="n"/>
      <c r="D822" s="21" t="n"/>
      <c r="E822" s="21" t="n"/>
      <c r="F822" s="21" t="n"/>
      <c r="G822" s="21" t="n"/>
    </row>
    <row r="823" ht="48" customHeight="1">
      <c r="A823" s="22" t="inlineStr">
        <is>
          <t>Работа в тестовой среде: обзор интерфейсов и базовой функциональности. Загрузка и изучение отчётов компаний Mandiant, Recorded Future и др. Извлечение ключевых индикаторов и сопоставление с данными собственной инфраструктуры.</t>
        </is>
      </c>
      <c r="B823" s="2" t="n"/>
      <c r="C823" s="2" t="n"/>
      <c r="D823" s="2" t="n"/>
      <c r="E823" s="2" t="n"/>
      <c r="F823" s="2" t="n"/>
      <c r="G823" s="2" t="n"/>
    </row>
    <row r="824" ht="51" customHeight="1">
      <c r="A824" s="3" t="inlineStr">
        <is>
          <t>РКИОК — Реагирование на киберинциденты и отражение кибератак
Раздел: Введение в SOAR и TI · УТП: таблица 2, строка 41</t>
        </is>
      </c>
      <c r="B824" s="4" t="n"/>
      <c r="C824" s="4" t="n"/>
      <c r="D824" s="4" t="n"/>
      <c r="E824" s="4" t="n"/>
      <c r="F824" s="4" t="n"/>
      <c r="G824" s="4" t="n"/>
    </row>
    <row r="825" ht="46" customHeight="1">
      <c r="A825" s="3" t="inlineStr">
        <is>
          <t>В программе: Тема 8. Знакомство с интерфейсами SOAR и TI-платформ (демо или песочница). Анализ реальных TI-отчетов (Mandiant, Recorded Future и др.) (1 час практические занятия).</t>
        </is>
      </c>
      <c r="B825" s="4" t="n"/>
      <c r="C825" s="4" t="n"/>
      <c r="D825" s="4" t="n"/>
      <c r="E825" s="4" t="n"/>
      <c r="F825" s="4" t="n"/>
      <c r="G825" s="4" t="n"/>
    </row>
    <row r="826" ht="25" customHeight="1">
      <c r="A826" s="23" t="inlineStr">
        <is>
          <t>Исходная программа РКИОК ↗</t>
        </is>
      </c>
      <c r="D826" s="23" t="inlineStr">
        <is>
          <t>Исходный УТП РКИОК ↗</t>
        </is>
      </c>
    </row>
    <row r="827" ht="27" customHeight="1">
      <c r="A827" s="24">
        <f>HYPERLINK("#'Выбор тем'!E"&amp;MATCH("T-BF124D0A",'Выбор тем'!$A:$A,0),"← Вернуться к теме")</f>
        <v/>
      </c>
    </row>
    <row r="829" ht="38" customHeight="1">
      <c r="A829" s="18" t="inlineStr">
        <is>
          <t>Инвентаризация активов. SOAR</t>
        </is>
      </c>
      <c r="B829" s="19" t="n"/>
      <c r="C829" s="19" t="n"/>
      <c r="D829" s="19" t="n"/>
      <c r="E829" s="19" t="n"/>
      <c r="F829" s="19" t="n"/>
      <c r="G829" s="19" t="n"/>
    </row>
    <row r="830" ht="26" customHeight="1">
      <c r="A830" s="3" t="inlineStr">
        <is>
          <t>T-709CA1C5 · Программы: ПСАЭ</t>
        </is>
      </c>
      <c r="B830" s="4" t="n"/>
      <c r="C830" s="4" t="n"/>
      <c r="D830" s="4" t="n"/>
      <c r="E830" s="4" t="n"/>
      <c r="F830" s="4" t="n"/>
      <c r="G830" s="4" t="n"/>
    </row>
    <row r="831" ht="27" customHeight="1">
      <c r="A831" s="20" t="inlineStr">
        <is>
          <t>Вариант для: ПСАЭ</t>
        </is>
      </c>
      <c r="B831" s="21" t="n"/>
      <c r="C831" s="21" t="n"/>
      <c r="D831" s="21" t="n"/>
      <c r="E831" s="21" t="n"/>
      <c r="F831" s="21" t="n"/>
      <c r="G831" s="21" t="n"/>
    </row>
    <row r="832" ht="32" customHeight="1">
      <c r="A832" s="22" t="inlineStr">
        <is>
          <t>Назначение SOAR. Архитектура SOAR. Ролевая модель доступа SOAR.</t>
        </is>
      </c>
      <c r="B832" s="2" t="n"/>
      <c r="C832" s="2" t="n"/>
      <c r="D832" s="2" t="n"/>
      <c r="E832" s="2" t="n"/>
      <c r="F832" s="2" t="n"/>
      <c r="G832" s="2" t="n"/>
    </row>
    <row r="833" ht="64" customHeight="1">
      <c r="A833" s="22" t="inlineStr">
        <is>
          <t>Разбор типов активов. Инвентаризация ИТ-инфраструктуры внутренним механизмом SOAR. Получение данных об ИТ-активах посредством интеграции SOAR и внешних систем. Сбор дополнительных сведений по ИТ-активам (скрипты автоматизации). Описание информационных систем, информации и бизнес-процессов. Описание прочих типов активов. Настройка карточек описания активов (определение состава полей). Определение ценности (критичности) активов.</t>
        </is>
      </c>
      <c r="B833" s="2" t="n"/>
      <c r="C833" s="2" t="n"/>
      <c r="D833" s="2" t="n"/>
      <c r="E833" s="2" t="n"/>
      <c r="F833" s="2" t="n"/>
      <c r="G833" s="2" t="n"/>
    </row>
    <row r="834" ht="32" customHeight="1">
      <c r="A834" s="22" t="inlineStr">
        <is>
          <t>Построение и анализ взаимосвязей между различными типами активов. Политики автоматизации в SOAR (примеры управления данными об активах).</t>
        </is>
      </c>
      <c r="B834" s="2" t="n"/>
      <c r="C834" s="2" t="n"/>
      <c r="D834" s="2" t="n"/>
      <c r="E834" s="2" t="n"/>
      <c r="F834" s="2" t="n"/>
      <c r="G834" s="2" t="n"/>
    </row>
    <row r="835" ht="32" customHeight="1">
      <c r="A835" s="22" t="inlineStr">
        <is>
          <t>Анализ взаимосвязей активов и уязвимостей.</t>
        </is>
      </c>
      <c r="B835" s="2" t="n"/>
      <c r="C835" s="2" t="n"/>
      <c r="D835" s="2" t="n"/>
      <c r="E835" s="2" t="n"/>
      <c r="F835" s="2" t="n"/>
      <c r="G835" s="2" t="n"/>
    </row>
    <row r="836" ht="32" customHeight="1">
      <c r="A836" s="22" t="inlineStr">
        <is>
          <t>Анализ взаимосвязей активов и инцидентов информационной безопасности.</t>
        </is>
      </c>
      <c r="B836" s="2" t="n"/>
      <c r="C836" s="2" t="n"/>
      <c r="D836" s="2" t="n"/>
      <c r="E836" s="2" t="n"/>
      <c r="F836" s="2" t="n"/>
      <c r="G836" s="2" t="n"/>
    </row>
    <row r="837" ht="32" customHeight="1">
      <c r="A837" s="22" t="inlineStr">
        <is>
          <t>Создание виджетов и отчётов.</t>
        </is>
      </c>
      <c r="B837" s="2" t="n"/>
      <c r="C837" s="2" t="n"/>
      <c r="D837" s="2" t="n"/>
      <c r="E837" s="2" t="n"/>
      <c r="F837" s="2" t="n"/>
      <c r="G837" s="2" t="n"/>
    </row>
    <row r="838" ht="51" customHeight="1">
      <c r="A838"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18</t>
        </is>
      </c>
      <c r="B838" s="4" t="n"/>
      <c r="C838" s="4" t="n"/>
      <c r="D838" s="4" t="n"/>
      <c r="E838" s="4" t="n"/>
      <c r="F838" s="4" t="n"/>
      <c r="G838" s="4" t="n"/>
    </row>
    <row r="839" ht="30" customHeight="1">
      <c r="A839" s="3" t="inlineStr">
        <is>
          <t>В программе: Тема 2. Инвентаризация активов. SOAR (2 часа лекции, 2 часа практические занятия).</t>
        </is>
      </c>
      <c r="B839" s="4" t="n"/>
      <c r="C839" s="4" t="n"/>
      <c r="D839" s="4" t="n"/>
      <c r="E839" s="4" t="n"/>
      <c r="F839" s="4" t="n"/>
      <c r="G839" s="4" t="n"/>
    </row>
    <row r="840" ht="25" customHeight="1">
      <c r="A840" s="23" t="inlineStr">
        <is>
          <t>Исходная программа ПСАЭ ↗</t>
        </is>
      </c>
      <c r="D840" s="23" t="inlineStr">
        <is>
          <t>Исходный УТП ПСАЭ ↗</t>
        </is>
      </c>
    </row>
    <row r="841" ht="27" customHeight="1">
      <c r="A841" s="24">
        <f>HYPERLINK("#'Выбор тем'!E"&amp;MATCH("T-709CA1C5",'Выбор тем'!$A:$A,0),"← Вернуться к теме")</f>
        <v/>
      </c>
    </row>
    <row r="843" ht="38" customHeight="1">
      <c r="A843" s="18" t="inlineStr">
        <is>
          <t>Инструменты IDS/IPS: Snort, Suricata</t>
        </is>
      </c>
      <c r="B843" s="19" t="n"/>
      <c r="C843" s="19" t="n"/>
      <c r="D843" s="19" t="n"/>
      <c r="E843" s="19" t="n"/>
      <c r="F843" s="19" t="n"/>
      <c r="G843" s="19" t="n"/>
    </row>
    <row r="844" ht="26" customHeight="1">
      <c r="A844" s="3" t="inlineStr">
        <is>
          <t>T-0DF241E9 · Программы: РКИОК</t>
        </is>
      </c>
      <c r="B844" s="4" t="n"/>
      <c r="C844" s="4" t="n"/>
      <c r="D844" s="4" t="n"/>
      <c r="E844" s="4" t="n"/>
      <c r="F844" s="4" t="n"/>
      <c r="G844" s="4" t="n"/>
    </row>
    <row r="845" ht="27" customHeight="1">
      <c r="A845" s="20" t="inlineStr">
        <is>
          <t>Вариант для: РКИОК</t>
        </is>
      </c>
      <c r="B845" s="21" t="n"/>
      <c r="C845" s="21" t="n"/>
      <c r="D845" s="21" t="n"/>
      <c r="E845" s="21" t="n"/>
      <c r="F845" s="21" t="n"/>
      <c r="G845" s="21" t="n"/>
    </row>
    <row r="846" ht="48" customHeight="1">
      <c r="A846" s="22" t="inlineStr">
        <is>
          <t>Архитектура и принципы работы Snort и Suricata. Написание и настройка правил для обнаружения различных угроз. Сравнение систем по производительности и возможностям расширения.</t>
        </is>
      </c>
      <c r="B846" s="2" t="n"/>
      <c r="C846" s="2" t="n"/>
      <c r="D846" s="2" t="n"/>
      <c r="E846" s="2" t="n"/>
      <c r="F846" s="2" t="n"/>
      <c r="G846" s="2" t="n"/>
    </row>
    <row r="847" ht="51" customHeight="1">
      <c r="A847" s="3" t="inlineStr">
        <is>
          <t>РКИОК — Реагирование на киберинциденты и отражение кибератак
Раздел: Сбор данных и предотвращение атак · УТП: таблица 2, строка 16</t>
        </is>
      </c>
      <c r="B847" s="4" t="n"/>
      <c r="C847" s="4" t="n"/>
      <c r="D847" s="4" t="n"/>
      <c r="E847" s="4" t="n"/>
      <c r="F847" s="4" t="n"/>
      <c r="G847" s="4" t="n"/>
    </row>
    <row r="848" ht="30" customHeight="1">
      <c r="A848" s="3" t="inlineStr">
        <is>
          <t>В программе: Тема 2. Инструменты IDS/IPS: Snort, Suricata (1 час лекции).</t>
        </is>
      </c>
      <c r="B848" s="4" t="n"/>
      <c r="C848" s="4" t="n"/>
      <c r="D848" s="4" t="n"/>
      <c r="E848" s="4" t="n"/>
      <c r="F848" s="4" t="n"/>
      <c r="G848" s="4" t="n"/>
    </row>
    <row r="849" ht="25" customHeight="1">
      <c r="A849" s="23" t="inlineStr">
        <is>
          <t>Исходная программа РКИОК ↗</t>
        </is>
      </c>
      <c r="D849" s="23" t="inlineStr">
        <is>
          <t>Исходный УТП РКИОК ↗</t>
        </is>
      </c>
    </row>
    <row r="850" ht="27" customHeight="1">
      <c r="A850" s="24">
        <f>HYPERLINK("#'Выбор тем'!E"&amp;MATCH("T-0DF241E9",'Выбор тем'!$A:$A,0),"← Вернуться к теме")</f>
        <v/>
      </c>
    </row>
    <row r="852" ht="38" customHeight="1">
      <c r="A852" s="18" t="inlineStr">
        <is>
          <t>Интеграция с SIEM (MaxPatrol SIEM, Kuma, NTechnology SIEM)</t>
        </is>
      </c>
      <c r="B852" s="19" t="n"/>
      <c r="C852" s="19" t="n"/>
      <c r="D852" s="19" t="n"/>
      <c r="E852" s="19" t="n"/>
      <c r="F852" s="19" t="n"/>
      <c r="G852" s="19" t="n"/>
    </row>
    <row r="853" ht="26" customHeight="1">
      <c r="A853" s="3" t="inlineStr">
        <is>
          <t>T-20779565 · Программы: РКИОК</t>
        </is>
      </c>
      <c r="B853" s="4" t="n"/>
      <c r="C853" s="4" t="n"/>
      <c r="D853" s="4" t="n"/>
      <c r="E853" s="4" t="n"/>
      <c r="F853" s="4" t="n"/>
      <c r="G853" s="4" t="n"/>
    </row>
    <row r="854" ht="27" customHeight="1">
      <c r="A854" s="20" t="inlineStr">
        <is>
          <t>Вариант для: РКИОК</t>
        </is>
      </c>
      <c r="B854" s="21" t="n"/>
      <c r="C854" s="21" t="n"/>
      <c r="D854" s="21" t="n"/>
      <c r="E854" s="21" t="n"/>
      <c r="F854" s="21" t="n"/>
      <c r="G854" s="21" t="n"/>
    </row>
    <row r="855" ht="48" customHeight="1">
      <c r="A855" s="22" t="inlineStr">
        <is>
          <t>Настройка каналов связи между SOAR и SIEM для получения оповещений. Обмен данными через API и форматы представления событий. Особенности интеграции с конкретными системами: MaxPatrol SIEM, KUMA, NTechnology SIEM.</t>
        </is>
      </c>
      <c r="B855" s="2" t="n"/>
      <c r="C855" s="2" t="n"/>
      <c r="D855" s="2" t="n"/>
      <c r="E855" s="2" t="n"/>
      <c r="F855" s="2" t="n"/>
      <c r="G855" s="2" t="n"/>
    </row>
    <row r="856" ht="51" customHeight="1">
      <c r="A856" s="3" t="inlineStr">
        <is>
          <t>РКИОК — Реагирование на киберинциденты и отражение кибератак
Раздел: Интеграция и использование SOAR в ЦКБ · УТП: таблица 2, строка 43</t>
        </is>
      </c>
      <c r="B856" s="4" t="n"/>
      <c r="C856" s="4" t="n"/>
      <c r="D856" s="4" t="n"/>
      <c r="E856" s="4" t="n"/>
      <c r="F856" s="4" t="n"/>
      <c r="G856" s="4" t="n"/>
    </row>
    <row r="857" ht="30" customHeight="1">
      <c r="A857" s="3" t="inlineStr">
        <is>
          <t>В программе: Тема 1. Интеграция с SIEM (MaxPatrol SIEM, Kuma, NTechnology SIEM) (1 час лекции).</t>
        </is>
      </c>
      <c r="B857" s="4" t="n"/>
      <c r="C857" s="4" t="n"/>
      <c r="D857" s="4" t="n"/>
      <c r="E857" s="4" t="n"/>
      <c r="F857" s="4" t="n"/>
      <c r="G857" s="4" t="n"/>
    </row>
    <row r="858" ht="25" customHeight="1">
      <c r="A858" s="23" t="inlineStr">
        <is>
          <t>Исходная программа РКИОК ↗</t>
        </is>
      </c>
      <c r="D858" s="23" t="inlineStr">
        <is>
          <t>Исходный УТП РКИОК ↗</t>
        </is>
      </c>
    </row>
    <row r="859" ht="27" customHeight="1">
      <c r="A859" s="24">
        <f>HYPERLINK("#'Выбор тем'!E"&amp;MATCH("T-20779565",'Выбор тем'!$A:$A,0),"← Вернуться к теме")</f>
        <v/>
      </c>
    </row>
    <row r="861" ht="38" customHeight="1">
      <c r="A861" s="18" t="inlineStr">
        <is>
          <t>Интеграция с системами активного реагирования и источниками контекста</t>
        </is>
      </c>
      <c r="B861" s="19" t="n"/>
      <c r="C861" s="19" t="n"/>
      <c r="D861" s="19" t="n"/>
      <c r="E861" s="19" t="n"/>
      <c r="F861" s="19" t="n"/>
      <c r="G861" s="19" t="n"/>
    </row>
    <row r="862" ht="26" customHeight="1">
      <c r="A862" s="3" t="inlineStr">
        <is>
          <t>T-841665A3 · Программы: РКИОК</t>
        </is>
      </c>
      <c r="B862" s="4" t="n"/>
      <c r="C862" s="4" t="n"/>
      <c r="D862" s="4" t="n"/>
      <c r="E862" s="4" t="n"/>
      <c r="F862" s="4" t="n"/>
      <c r="G862" s="4" t="n"/>
    </row>
    <row r="863" ht="27" customHeight="1">
      <c r="A863" s="20" t="inlineStr">
        <is>
          <t>Вариант для: РКИОК</t>
        </is>
      </c>
      <c r="B863" s="21" t="n"/>
      <c r="C863" s="21" t="n"/>
      <c r="D863" s="21" t="n"/>
      <c r="E863" s="21" t="n"/>
      <c r="F863" s="21" t="n"/>
      <c r="G863" s="21" t="n"/>
    </row>
    <row r="864" ht="48" customHeight="1">
      <c r="A864" s="22" t="inlineStr">
        <is>
          <t>Соединение SOAR с EDR для автоматической изоляции узлов. Передача команд на сетевые экраны и почтовые шлюзы для блокировки. Использование CMDB для получения информации об активах и зависимостях.</t>
        </is>
      </c>
      <c r="B864" s="2" t="n"/>
      <c r="C864" s="2" t="n"/>
      <c r="D864" s="2" t="n"/>
      <c r="E864" s="2" t="n"/>
      <c r="F864" s="2" t="n"/>
      <c r="G864" s="2" t="n"/>
    </row>
    <row r="865" ht="51" customHeight="1">
      <c r="A865" s="3" t="inlineStr">
        <is>
          <t>РКИОК — Реагирование на киберинциденты и отражение кибератак
Раздел: Интеграция и использование SOAR в ЦКБ · УТП: таблица 2, строка 44</t>
        </is>
      </c>
      <c r="B865" s="4" t="n"/>
      <c r="C865" s="4" t="n"/>
      <c r="D865" s="4" t="n"/>
      <c r="E865" s="4" t="n"/>
      <c r="F865" s="4" t="n"/>
      <c r="G865" s="4" t="n"/>
    </row>
    <row r="866" ht="30" customHeight="1">
      <c r="A866" s="3" t="inlineStr">
        <is>
          <t>В программе: Тема 2. Интеграция с системами активного реагирования и источниками контекста (1 час лекции).</t>
        </is>
      </c>
      <c r="B866" s="4" t="n"/>
      <c r="C866" s="4" t="n"/>
      <c r="D866" s="4" t="n"/>
      <c r="E866" s="4" t="n"/>
      <c r="F866" s="4" t="n"/>
      <c r="G866" s="4" t="n"/>
    </row>
    <row r="867" ht="25" customHeight="1">
      <c r="A867" s="23" t="inlineStr">
        <is>
          <t>Исходная программа РКИОК ↗</t>
        </is>
      </c>
      <c r="D867" s="23" t="inlineStr">
        <is>
          <t>Исходный УТП РКИОК ↗</t>
        </is>
      </c>
    </row>
    <row r="868" ht="27" customHeight="1">
      <c r="A868" s="24">
        <f>HYPERLINK("#'Выбор тем'!E"&amp;MATCH("T-841665A3",'Выбор тем'!$A:$A,0),"← Вернуться к теме")</f>
        <v/>
      </c>
    </row>
    <row r="870" ht="38" customHeight="1">
      <c r="A870" s="18" t="inlineStr">
        <is>
          <t>Информационная безопасность, защита информации. Методология</t>
        </is>
      </c>
      <c r="B870" s="19" t="n"/>
      <c r="C870" s="19" t="n"/>
      <c r="D870" s="19" t="n"/>
      <c r="E870" s="19" t="n"/>
      <c r="F870" s="19" t="n"/>
      <c r="G870" s="19" t="n"/>
    </row>
    <row r="871" ht="26" customHeight="1">
      <c r="A871" s="3" t="inlineStr">
        <is>
          <t>T-EC317E15 · Программы: ПСАЭ</t>
        </is>
      </c>
      <c r="B871" s="4" t="n"/>
      <c r="C871" s="4" t="n"/>
      <c r="D871" s="4" t="n"/>
      <c r="E871" s="4" t="n"/>
      <c r="F871" s="4" t="n"/>
      <c r="G871" s="4" t="n"/>
    </row>
    <row r="872" ht="27" customHeight="1">
      <c r="A872" s="20" t="inlineStr">
        <is>
          <t>Вариант для: ПСАЭ</t>
        </is>
      </c>
      <c r="B872" s="21" t="n"/>
      <c r="C872" s="21" t="n"/>
      <c r="D872" s="21" t="n"/>
      <c r="E872" s="21" t="n"/>
      <c r="F872" s="21" t="n"/>
      <c r="G872" s="21" t="n"/>
    </row>
    <row r="873" ht="64" customHeight="1">
      <c r="A873" s="22" t="inlineStr">
        <is>
          <t>Информация. Информационная безопасность. Формы представления информации. Обладатель информации. Информационные отношения. Жизненный цикл информации. Способы восприятия информации. Требования к информации. Информационная технология. Распространение и предоставление информации. Классификация информации.</t>
        </is>
      </c>
      <c r="B873" s="2" t="n"/>
      <c r="C873" s="2" t="n"/>
      <c r="D873" s="2" t="n"/>
      <c r="E873" s="2" t="n"/>
      <c r="F873" s="2" t="n"/>
      <c r="G873" s="2" t="n"/>
    </row>
    <row r="874" ht="48" customHeight="1">
      <c r="A874" s="22" t="inlineStr">
        <is>
          <t>Виды нарушителей. Понятие модели нарушителя. Способы доступа нарушителя к носителю информации. Угроза безопасности информации. Утечка информации.</t>
        </is>
      </c>
      <c r="B874" s="2" t="n"/>
      <c r="C874" s="2" t="n"/>
      <c r="D874" s="2" t="n"/>
      <c r="E874" s="2" t="n"/>
      <c r="F874" s="2" t="n"/>
      <c r="G874" s="2" t="n"/>
    </row>
    <row r="875" ht="32" customHeight="1">
      <c r="A875" s="22" t="inlineStr">
        <is>
          <t>Методы защиты информации. Средства защиты информации. Объект, цель и замысел защиты информации. Система защиты информации.</t>
        </is>
      </c>
      <c r="B875" s="2" t="n"/>
      <c r="C875" s="2" t="n"/>
      <c r="D875" s="2" t="n"/>
      <c r="E875" s="2" t="n"/>
      <c r="F875" s="2" t="n"/>
      <c r="G875" s="2" t="n"/>
    </row>
    <row r="876" ht="51" customHeight="1">
      <c r="A876" s="3" t="inlineStr">
        <is>
          <t>ПСАЭ — Проектирование, создание, аттестация и эксплуатация систем защиты информации
Раздел: Нормативное правовое регулирование вопросов информационной безопасности в Республике Беларусь · УТП: таблица 2, строка 7</t>
        </is>
      </c>
      <c r="B876" s="4" t="n"/>
      <c r="C876" s="4" t="n"/>
      <c r="D876" s="4" t="n"/>
      <c r="E876" s="4" t="n"/>
      <c r="F876" s="4" t="n"/>
      <c r="G876" s="4" t="n"/>
    </row>
    <row r="877" ht="30" customHeight="1">
      <c r="A877" s="3" t="inlineStr">
        <is>
          <t>В программе: Тема 2. Информационная безопасность, защита информации. Методология (2 часа лекции).</t>
        </is>
      </c>
      <c r="B877" s="4" t="n"/>
      <c r="C877" s="4" t="n"/>
      <c r="D877" s="4" t="n"/>
      <c r="E877" s="4" t="n"/>
      <c r="F877" s="4" t="n"/>
      <c r="G877" s="4" t="n"/>
    </row>
    <row r="878" ht="25" customHeight="1">
      <c r="A878" s="23" t="inlineStr">
        <is>
          <t>Исходная программа ПСАЭ ↗</t>
        </is>
      </c>
      <c r="D878" s="23" t="inlineStr">
        <is>
          <t>Исходный УТП ПСАЭ ↗</t>
        </is>
      </c>
    </row>
    <row r="879" ht="27" customHeight="1">
      <c r="A879" s="24">
        <f>HYPERLINK("#'Выбор тем'!E"&amp;MATCH("T-EC317E15",'Выбор тем'!$A:$A,0),"← Вернуться к теме")</f>
        <v/>
      </c>
    </row>
    <row r="881" ht="38" customHeight="1">
      <c r="A881" s="18" t="inlineStr">
        <is>
          <t>Информационная безопасность цифрового государства</t>
        </is>
      </c>
      <c r="B881" s="19" t="n"/>
      <c r="C881" s="19" t="n"/>
      <c r="D881" s="19" t="n"/>
      <c r="E881" s="19" t="n"/>
      <c r="F881" s="19" t="n"/>
      <c r="G881" s="19" t="n"/>
    </row>
    <row r="882" ht="26" customHeight="1">
      <c r="A882" s="3" t="inlineStr">
        <is>
          <t>T-E5E1DCD3 · Программы: ЦТГУ</t>
        </is>
      </c>
      <c r="B882" s="4" t="n"/>
      <c r="C882" s="4" t="n"/>
      <c r="D882" s="4" t="n"/>
      <c r="E882" s="4" t="n"/>
      <c r="F882" s="4" t="n"/>
      <c r="G882" s="4" t="n"/>
    </row>
    <row r="883" ht="27" customHeight="1">
      <c r="A883" s="20" t="inlineStr">
        <is>
          <t>Вариант для: ЦТГУ</t>
        </is>
      </c>
      <c r="B883" s="21" t="n"/>
      <c r="C883" s="21" t="n"/>
      <c r="D883" s="21" t="n"/>
      <c r="E883" s="21" t="n"/>
      <c r="F883" s="21" t="n"/>
      <c r="G883" s="21" t="n"/>
    </row>
    <row r="884" ht="48" customHeight="1">
      <c r="A884" s="22" t="inlineStr">
        <is>
          <t>Угрозы критической информационной инфраструктуры. Принципы защиты инфраструктуры на этапах проектирования и эксплуатации. Роль регламентов и ответственности руководителей. Безопасность персональных данных и межведомственного обмена.</t>
        </is>
      </c>
      <c r="B884" s="2" t="n"/>
      <c r="C884" s="2" t="n"/>
      <c r="D884" s="2" t="n"/>
      <c r="E884" s="2" t="n"/>
      <c r="F884" s="2" t="n"/>
      <c r="G884" s="2" t="n"/>
    </row>
    <row r="885" ht="51" customHeight="1">
      <c r="A885" s="3" t="inlineStr">
        <is>
          <t>ЦТГУ — Цифровая трансформация государственного управления
Раздел: Цифровой суверенитет и информационная безопасность · УТП: таблица 2, строка 17</t>
        </is>
      </c>
      <c r="B885" s="4" t="n"/>
      <c r="C885" s="4" t="n"/>
      <c r="D885" s="4" t="n"/>
      <c r="E885" s="4" t="n"/>
      <c r="F885" s="4" t="n"/>
      <c r="G885" s="4" t="n"/>
    </row>
    <row r="886" ht="30" customHeight="1">
      <c r="A886" s="3" t="inlineStr">
        <is>
          <t>В программе: Тема 2. Информационная безопасность цифрового государства (2 часа лекции).</t>
        </is>
      </c>
      <c r="B886" s="4" t="n"/>
      <c r="C886" s="4" t="n"/>
      <c r="D886" s="4" t="n"/>
      <c r="E886" s="4" t="n"/>
      <c r="F886" s="4" t="n"/>
      <c r="G886" s="4" t="n"/>
    </row>
    <row r="887" ht="25" customHeight="1">
      <c r="A887" s="23" t="inlineStr">
        <is>
          <t>Исходная программа ЦТГУ ↗</t>
        </is>
      </c>
      <c r="D887" s="23" t="inlineStr">
        <is>
          <t>Исходный УТП ЦТГУ ↗</t>
        </is>
      </c>
    </row>
    <row r="888" ht="27" customHeight="1">
      <c r="A888" s="24">
        <f>HYPERLINK("#'Выбор тем'!E"&amp;MATCH("T-E5E1DCD3",'Выбор тем'!$A:$A,0),"← Вернуться к теме")</f>
        <v/>
      </c>
    </row>
    <row r="890" ht="38" customHeight="1">
      <c r="A890" s="18" t="inlineStr">
        <is>
          <t>Инфраструктура открытых ключей. Основные компоненты</t>
        </is>
      </c>
      <c r="B890" s="19" t="n"/>
      <c r="C890" s="19" t="n"/>
      <c r="D890" s="19" t="n"/>
      <c r="E890" s="19" t="n"/>
      <c r="F890" s="19" t="n"/>
      <c r="G890" s="19" t="n"/>
    </row>
    <row r="891" ht="26" customHeight="1">
      <c r="A891" s="3" t="inlineStr">
        <is>
          <t>T-0CA5BB52 · Программы: КЗИ</t>
        </is>
      </c>
      <c r="B891" s="4" t="n"/>
      <c r="C891" s="4" t="n"/>
      <c r="D891" s="4" t="n"/>
      <c r="E891" s="4" t="n"/>
      <c r="F891" s="4" t="n"/>
      <c r="G891" s="4" t="n"/>
    </row>
    <row r="892" ht="27" customHeight="1">
      <c r="A892" s="20" t="inlineStr">
        <is>
          <t>Вариант для: КЗИ</t>
        </is>
      </c>
      <c r="B892" s="21" t="n"/>
      <c r="C892" s="21" t="n"/>
      <c r="D892" s="21" t="n"/>
      <c r="E892" s="21" t="n"/>
      <c r="F892" s="21" t="n"/>
      <c r="G892" s="21" t="n"/>
    </row>
    <row r="893" ht="96" customHeight="1">
      <c r="A893" s="22" t="inlineStr">
        <is>
          <t>Инфраструктура открытых ключей. Доверие между субъектами информационных отношений. Назначение инфраструктуры открытых ключей и задачи, решаемые с ее использованием. Компоненты инфраструктуры открытых ключей и их функции. Сертификаты открытых ключей. Политики применения сертификатов и регламент деятельности удостоверяющего центра. Основные принципы установления доверия в инфраструктуре открытых ключей. Основные протоколы, сервисы и службы инфраструктуры открытых ключей (LDAP, PKCS#10, PKCS#7, OCSP, DVCS, TSP). Структура электронного документа и электронной цифровой подписи. Форматы электронной цифровой подписи (CMS, XML-Dsig, CadES, XadES, PadES). Признание иностранных сертификатов открытых ключей.</t>
        </is>
      </c>
      <c r="B893" s="2" t="n"/>
      <c r="C893" s="2" t="n"/>
      <c r="D893" s="2" t="n"/>
      <c r="E893" s="2" t="n"/>
      <c r="F893" s="2" t="n"/>
      <c r="G893" s="2" t="n"/>
    </row>
    <row r="894" ht="51" customHeight="1">
      <c r="A894" s="3" t="inlineStr">
        <is>
          <t>КЗИ — Криптографическая защита информации
Раздел: Инфраструктура открытых ключей. · УТП: таблица 2, строка 18</t>
        </is>
      </c>
      <c r="B894" s="4" t="n"/>
      <c r="C894" s="4" t="n"/>
      <c r="D894" s="4" t="n"/>
      <c r="E894" s="4" t="n"/>
      <c r="F894" s="4" t="n"/>
      <c r="G894" s="4" t="n"/>
    </row>
    <row r="895" ht="30" customHeight="1">
      <c r="A895" s="3" t="inlineStr">
        <is>
          <t>В программе: Тема 1. Инфраструктура открытых ключей. Основные компоненты (4 часа лекции).</t>
        </is>
      </c>
      <c r="B895" s="4" t="n"/>
      <c r="C895" s="4" t="n"/>
      <c r="D895" s="4" t="n"/>
      <c r="E895" s="4" t="n"/>
      <c r="F895" s="4" t="n"/>
      <c r="G895" s="4" t="n"/>
    </row>
    <row r="896" ht="25" customHeight="1">
      <c r="A896" s="23" t="inlineStr">
        <is>
          <t>Исходная программа КЗИ ↗</t>
        </is>
      </c>
      <c r="D896" s="23" t="inlineStr">
        <is>
          <t>Исходный УТП КЗИ ↗</t>
        </is>
      </c>
    </row>
    <row r="897" ht="27" customHeight="1">
      <c r="A897" s="24">
        <f>HYPERLINK("#'Выбор тем'!E"&amp;MATCH("T-0CA5BB52",'Выбор тем'!$A:$A,0),"← Вернуться к теме")</f>
        <v/>
      </c>
    </row>
    <row r="899" ht="38" customHeight="1">
      <c r="A899" s="18" t="inlineStr">
        <is>
          <t>Искусственный интеллект и управление данными в государственном управлении</t>
        </is>
      </c>
      <c r="B899" s="19" t="n"/>
      <c r="C899" s="19" t="n"/>
      <c r="D899" s="19" t="n"/>
      <c r="E899" s="19" t="n"/>
      <c r="F899" s="19" t="n"/>
      <c r="G899" s="19" t="n"/>
    </row>
    <row r="900" ht="26" customHeight="1">
      <c r="A900" s="3" t="inlineStr">
        <is>
          <t>T-DA989476 · Программы: ЦТГУ</t>
        </is>
      </c>
      <c r="B900" s="4" t="n"/>
      <c r="C900" s="4" t="n"/>
      <c r="D900" s="4" t="n"/>
      <c r="E900" s="4" t="n"/>
      <c r="F900" s="4" t="n"/>
      <c r="G900" s="4" t="n"/>
    </row>
    <row r="901" ht="27" customHeight="1">
      <c r="A901" s="20" t="inlineStr">
        <is>
          <t>Вариант для: ЦТГУ</t>
        </is>
      </c>
      <c r="B901" s="21" t="n"/>
      <c r="C901" s="21" t="n"/>
      <c r="D901" s="21" t="n"/>
      <c r="E901" s="21" t="n"/>
      <c r="F901" s="21" t="n"/>
      <c r="G901" s="21" t="n"/>
    </row>
    <row r="902" ht="64" customHeight="1">
      <c r="A902" s="22" t="inlineStr">
        <is>
          <t>Национальная платформа управления жизненным циклом ИИ-моделей. Сценарии применения искусственного интеллекта (далее – ИИ) в государственном управлении. Требования к качеству данных, формирование национального корпуса данных и языковых технологий. Риски, ограничения и организационные предпосылки внедрения.</t>
        </is>
      </c>
      <c r="B902" s="2" t="n"/>
      <c r="C902" s="2" t="n"/>
      <c r="D902" s="2" t="n"/>
      <c r="E902" s="2" t="n"/>
      <c r="F902" s="2" t="n"/>
      <c r="G902" s="2" t="n"/>
    </row>
    <row r="903" ht="51" customHeight="1">
      <c r="A903"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10</t>
        </is>
      </c>
      <c r="B903" s="4" t="n"/>
      <c r="C903" s="4" t="n"/>
      <c r="D903" s="4" t="n"/>
      <c r="E903" s="4" t="n"/>
      <c r="F903" s="4" t="n"/>
      <c r="G903" s="4" t="n"/>
    </row>
    <row r="904" ht="30" customHeight="1">
      <c r="A904" s="3" t="inlineStr">
        <is>
          <t>В программе: Тема 5. Искусственный интеллект и управление данными в государственном управлении (4 часа лекции).</t>
        </is>
      </c>
      <c r="B904" s="4" t="n"/>
      <c r="C904" s="4" t="n"/>
      <c r="D904" s="4" t="n"/>
      <c r="E904" s="4" t="n"/>
      <c r="F904" s="4" t="n"/>
      <c r="G904" s="4" t="n"/>
    </row>
    <row r="905" ht="25" customHeight="1">
      <c r="A905" s="23" t="inlineStr">
        <is>
          <t>Исходная программа ЦТГУ ↗</t>
        </is>
      </c>
      <c r="D905" s="23" t="inlineStr">
        <is>
          <t>Исходный УТП ЦТГУ ↗</t>
        </is>
      </c>
    </row>
    <row r="906" ht="27" customHeight="1">
      <c r="A906" s="24">
        <f>HYPERLINK("#'Выбор тем'!E"&amp;MATCH("T-DA989476",'Выбор тем'!$A:$A,0),"← Вернуться к теме")</f>
        <v/>
      </c>
    </row>
    <row r="908" ht="38" customHeight="1">
      <c r="A908" s="18" t="inlineStr">
        <is>
          <t>Использование VirusTotal, AbuseIPDB, Shodan</t>
        </is>
      </c>
      <c r="B908" s="19" t="n"/>
      <c r="C908" s="19" t="n"/>
      <c r="D908" s="19" t="n"/>
      <c r="E908" s="19" t="n"/>
      <c r="F908" s="19" t="n"/>
      <c r="G908" s="19" t="n"/>
    </row>
    <row r="909" ht="26" customHeight="1">
      <c r="A909" s="3" t="inlineStr">
        <is>
          <t>T-B16D479E · Программы: РКИОК</t>
        </is>
      </c>
      <c r="B909" s="4" t="n"/>
      <c r="C909" s="4" t="n"/>
      <c r="D909" s="4" t="n"/>
      <c r="E909" s="4" t="n"/>
      <c r="F909" s="4" t="n"/>
      <c r="G909" s="4" t="n"/>
    </row>
    <row r="910" ht="27" customHeight="1">
      <c r="A910" s="20" t="inlineStr">
        <is>
          <t>Вариант для: РКИОК</t>
        </is>
      </c>
      <c r="B910" s="21" t="n"/>
      <c r="C910" s="21" t="n"/>
      <c r="D910" s="21" t="n"/>
      <c r="E910" s="21" t="n"/>
      <c r="F910" s="21" t="n"/>
      <c r="G910" s="21" t="n"/>
    </row>
    <row r="911" ht="48" customHeight="1">
      <c r="A911" s="22" t="inlineStr">
        <is>
          <t>Функционал сервисов: проверка файлов, IP-адресов и доменов. Интеграция через API и особенности лицензирования. Интерпретация результатов и ограничения использования.</t>
        </is>
      </c>
      <c r="B911" s="2" t="n"/>
      <c r="C911" s="2" t="n"/>
      <c r="D911" s="2" t="n"/>
      <c r="E911" s="2" t="n"/>
      <c r="F911" s="2" t="n"/>
      <c r="G911" s="2" t="n"/>
    </row>
    <row r="912" ht="51" customHeight="1">
      <c r="A912" s="3" t="inlineStr">
        <is>
          <t>РКИОК — Реагирование на киберинциденты и отражение кибератак
Раздел: Интеграция и использование TI в ЦКБ · УТП: таблица 2, строка 55</t>
        </is>
      </c>
      <c r="B912" s="4" t="n"/>
      <c r="C912" s="4" t="n"/>
      <c r="D912" s="4" t="n"/>
      <c r="E912" s="4" t="n"/>
      <c r="F912" s="4" t="n"/>
      <c r="G912" s="4" t="n"/>
    </row>
    <row r="913" ht="30" customHeight="1">
      <c r="A913" s="3" t="inlineStr">
        <is>
          <t>В программе: Тема 5. Использование VirusTotal, AbuseIPDB, Shodan (1 час лекции).</t>
        </is>
      </c>
      <c r="B913" s="4" t="n"/>
      <c r="C913" s="4" t="n"/>
      <c r="D913" s="4" t="n"/>
      <c r="E913" s="4" t="n"/>
      <c r="F913" s="4" t="n"/>
      <c r="G913" s="4" t="n"/>
    </row>
    <row r="914" ht="25" customHeight="1">
      <c r="A914" s="23" t="inlineStr">
        <is>
          <t>Исходная программа РКИОК ↗</t>
        </is>
      </c>
      <c r="D914" s="23" t="inlineStr">
        <is>
          <t>Исходный УТП РКИОК ↗</t>
        </is>
      </c>
    </row>
    <row r="915" ht="27" customHeight="1">
      <c r="A915" s="24">
        <f>HYPERLINK("#'Выбор тем'!E"&amp;MATCH("T-B16D479E",'Выбор тем'!$A:$A,0),"← Вернуться к теме")</f>
        <v/>
      </c>
    </row>
    <row r="917" ht="38" customHeight="1">
      <c r="A917" s="18" t="inlineStr">
        <is>
          <t>Использование фреймворков для оценки уровня защищенности (Nessus, OpenVAS, Nmap)</t>
        </is>
      </c>
      <c r="B917" s="19" t="n"/>
      <c r="C917" s="19" t="n"/>
      <c r="D917" s="19" t="n"/>
      <c r="E917" s="19" t="n"/>
      <c r="F917" s="19" t="n"/>
      <c r="G917" s="19" t="n"/>
    </row>
    <row r="918" ht="26" customHeight="1">
      <c r="A918" s="3" t="inlineStr">
        <is>
          <t>T-BE1BF799 · Программы: РКИОК</t>
        </is>
      </c>
      <c r="B918" s="4" t="n"/>
      <c r="C918" s="4" t="n"/>
      <c r="D918" s="4" t="n"/>
      <c r="E918" s="4" t="n"/>
      <c r="F918" s="4" t="n"/>
      <c r="G918" s="4" t="n"/>
    </row>
    <row r="919" ht="27" customHeight="1">
      <c r="A919" s="20" t="inlineStr">
        <is>
          <t>Вариант для: РКИОК</t>
        </is>
      </c>
      <c r="B919" s="21" t="n"/>
      <c r="C919" s="21" t="n"/>
      <c r="D919" s="21" t="n"/>
      <c r="E919" s="21" t="n"/>
      <c r="F919" s="21" t="n"/>
      <c r="G919" s="21" t="n"/>
    </row>
    <row r="920" ht="32" customHeight="1">
      <c r="A920" s="22" t="inlineStr">
        <is>
          <t>Понятие оценки уровня защищенности. Применение сканеров в процессе оценки уровня защищенности.</t>
        </is>
      </c>
      <c r="B920" s="2" t="n"/>
      <c r="C920" s="2" t="n"/>
      <c r="D920" s="2" t="n"/>
      <c r="E920" s="2" t="n"/>
      <c r="F920" s="2" t="n"/>
      <c r="G920" s="2" t="n"/>
    </row>
    <row r="921" ht="32" customHeight="1">
      <c r="A921" s="22" t="inlineStr">
        <is>
          <t>Обзор интерфейса Nessus. Описание процесса сканирования с применением Nessus.</t>
        </is>
      </c>
      <c r="B921" s="2" t="n"/>
      <c r="C921" s="2" t="n"/>
      <c r="D921" s="2" t="n"/>
      <c r="E921" s="2" t="n"/>
      <c r="F921" s="2" t="n"/>
      <c r="G921" s="2" t="n"/>
    </row>
    <row r="922" ht="32" customHeight="1">
      <c r="A922" s="22" t="inlineStr">
        <is>
          <t>Обзор интерфейса OpenVAS. Описание процесса сканирования с применением OpenVAS.</t>
        </is>
      </c>
      <c r="B922" s="2" t="n"/>
      <c r="C922" s="2" t="n"/>
      <c r="D922" s="2" t="n"/>
      <c r="E922" s="2" t="n"/>
      <c r="F922" s="2" t="n"/>
      <c r="G922" s="2" t="n"/>
    </row>
    <row r="923" ht="32" customHeight="1">
      <c r="A923" s="22" t="inlineStr">
        <is>
          <t>Обзор Nmap. Применение Nmap для сканирования сетей: запуск сканирования, обзор основных флагов, интерпретация результатов.</t>
        </is>
      </c>
      <c r="B923" s="2" t="n"/>
      <c r="C923" s="2" t="n"/>
      <c r="D923" s="2" t="n"/>
      <c r="E923" s="2" t="n"/>
      <c r="F923" s="2" t="n"/>
      <c r="G923" s="2" t="n"/>
    </row>
    <row r="924" ht="51" customHeight="1">
      <c r="A924"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29</t>
        </is>
      </c>
      <c r="B924" s="4" t="n"/>
      <c r="C924" s="4" t="n"/>
      <c r="D924" s="4" t="n"/>
      <c r="E924" s="4" t="n"/>
      <c r="F924" s="4" t="n"/>
      <c r="G924" s="4" t="n"/>
    </row>
    <row r="925" ht="30" customHeight="1">
      <c r="A925" s="3" t="inlineStr">
        <is>
          <t>В программе: Тема 1. Использование фреймворков для оценки уровня защищенности (Nessus, OpenVAS, Nmap) (3 часа лекции).</t>
        </is>
      </c>
      <c r="B925" s="4" t="n"/>
      <c r="C925" s="4" t="n"/>
      <c r="D925" s="4" t="n"/>
      <c r="E925" s="4" t="n"/>
      <c r="F925" s="4" t="n"/>
      <c r="G925" s="4" t="n"/>
    </row>
    <row r="926" ht="25" customHeight="1">
      <c r="A926" s="23" t="inlineStr">
        <is>
          <t>Исходная программа РКИОК ↗</t>
        </is>
      </c>
      <c r="D926" s="23" t="inlineStr">
        <is>
          <t>Исходный УТП РКИОК ↗</t>
        </is>
      </c>
    </row>
    <row r="927" ht="27" customHeight="1">
      <c r="A927" s="24">
        <f>HYPERLINK("#'Выбор тем'!E"&amp;MATCH("T-BE1BF799",'Выбор тем'!$A:$A,0),"← Вернуться к теме")</f>
        <v/>
      </c>
    </row>
    <row r="929" ht="38" customHeight="1">
      <c r="A929" s="18" t="inlineStr">
        <is>
          <t>Кибер-форензика – инструменты для криминалистики</t>
        </is>
      </c>
      <c r="B929" s="19" t="n"/>
      <c r="C929" s="19" t="n"/>
      <c r="D929" s="19" t="n"/>
      <c r="E929" s="19" t="n"/>
      <c r="F929" s="19" t="n"/>
      <c r="G929" s="19" t="n"/>
    </row>
    <row r="930" ht="26" customHeight="1">
      <c r="A930" s="3" t="inlineStr">
        <is>
          <t>T-0B998B4C · Программы: РКИОК</t>
        </is>
      </c>
      <c r="B930" s="4" t="n"/>
      <c r="C930" s="4" t="n"/>
      <c r="D930" s="4" t="n"/>
      <c r="E930" s="4" t="n"/>
      <c r="F930" s="4" t="n"/>
      <c r="G930" s="4" t="n"/>
    </row>
    <row r="931" ht="27" customHeight="1">
      <c r="A931" s="20" t="inlineStr">
        <is>
          <t>Вариант для: РКИОК</t>
        </is>
      </c>
      <c r="B931" s="21" t="n"/>
      <c r="C931" s="21" t="n"/>
      <c r="D931" s="21" t="n"/>
      <c r="E931" s="21" t="n"/>
      <c r="F931" s="21" t="n"/>
      <c r="G931" s="21" t="n"/>
    </row>
    <row r="932" ht="48" customHeight="1">
      <c r="A932" s="22" t="inlineStr">
        <is>
          <t>Введение в кибер-форензику, её цели и назначение. Основные задачи компьютерной криминалистики. Требования к собираемой информации. Общий обзор инструментов и сценарии их использования.</t>
        </is>
      </c>
      <c r="B932" s="2" t="n"/>
      <c r="C932" s="2" t="n"/>
      <c r="D932" s="2" t="n"/>
      <c r="E932" s="2" t="n"/>
      <c r="F932" s="2" t="n"/>
      <c r="G932" s="2" t="n"/>
    </row>
    <row r="933" ht="51" customHeight="1">
      <c r="A933" s="3" t="inlineStr">
        <is>
          <t>РКИОК — Реагирование на киберинциденты и отражение кибератак
Раздел: Введение в киберкриминалистику · УТП: таблица 2, строка 21</t>
        </is>
      </c>
      <c r="B933" s="4" t="n"/>
      <c r="C933" s="4" t="n"/>
      <c r="D933" s="4" t="n"/>
      <c r="E933" s="4" t="n"/>
      <c r="F933" s="4" t="n"/>
      <c r="G933" s="4" t="n"/>
    </row>
    <row r="934" ht="30" customHeight="1">
      <c r="A934" s="3" t="inlineStr">
        <is>
          <t>В программе: Тема 1. Кибер-форензика – инструменты для криминалистики (1 час лекции).</t>
        </is>
      </c>
      <c r="B934" s="4" t="n"/>
      <c r="C934" s="4" t="n"/>
      <c r="D934" s="4" t="n"/>
      <c r="E934" s="4" t="n"/>
      <c r="F934" s="4" t="n"/>
      <c r="G934" s="4" t="n"/>
    </row>
    <row r="935" ht="25" customHeight="1">
      <c r="A935" s="23" t="inlineStr">
        <is>
          <t>Исходная программа РКИОК ↗</t>
        </is>
      </c>
      <c r="D935" s="23" t="inlineStr">
        <is>
          <t>Исходный УТП РКИОК ↗</t>
        </is>
      </c>
    </row>
    <row r="936" ht="27" customHeight="1">
      <c r="A936" s="24">
        <f>HYPERLINK("#'Выбор тем'!E"&amp;MATCH("T-0B998B4C",'Выбор тем'!$A:$A,0),"← Вернуться к теме")</f>
        <v/>
      </c>
    </row>
    <row r="938" ht="38" customHeight="1">
      <c r="A938" s="18" t="inlineStr">
        <is>
          <t>Кибератаки с использованием методов социальной инженерии</t>
        </is>
      </c>
      <c r="B938" s="19" t="n"/>
      <c r="C938" s="19" t="n"/>
      <c r="D938" s="19" t="n"/>
      <c r="E938" s="19" t="n"/>
      <c r="F938" s="19" t="n"/>
      <c r="G938" s="19" t="n"/>
    </row>
    <row r="939" ht="26" customHeight="1">
      <c r="A939" s="3" t="inlineStr">
        <is>
          <t>T-A6B24659 · Программы: ОКМ</t>
        </is>
      </c>
      <c r="B939" s="4" t="n"/>
      <c r="C939" s="4" t="n"/>
      <c r="D939" s="4" t="n"/>
      <c r="E939" s="4" t="n"/>
      <c r="F939" s="4" t="n"/>
      <c r="G939" s="4" t="n"/>
    </row>
    <row r="940" ht="27" customHeight="1">
      <c r="A940" s="20" t="inlineStr">
        <is>
          <t>Вариант для: ОКМ</t>
        </is>
      </c>
      <c r="B940" s="21" t="n"/>
      <c r="C940" s="21" t="n"/>
      <c r="D940" s="21" t="n"/>
      <c r="E940" s="21" t="n"/>
      <c r="F940" s="21" t="n"/>
      <c r="G940" s="21" t="n"/>
    </row>
    <row r="941" ht="64" customHeight="1">
      <c r="A941" s="22" t="inlineStr">
        <is>
          <t>Понятие кибератак, осуществляемых с использованием методов социальной инженерии. Виды кибератак, осуществляемых с использованием методов социальной инженерии. Способы установления доверительных отношений. Виды внешних воздействий на человека, позволяющие изменять его эмоциональное состояние. Фишинг и его виды. Модель нарушителя, использующего фишинг. Противодействие фишингу.</t>
        </is>
      </c>
      <c r="B941" s="2" t="n"/>
      <c r="C941" s="2" t="n"/>
      <c r="D941" s="2" t="n"/>
      <c r="E941" s="2" t="n"/>
      <c r="F941" s="2" t="n"/>
      <c r="G941" s="2" t="n"/>
    </row>
    <row r="942" ht="51" customHeight="1">
      <c r="A942"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12</t>
        </is>
      </c>
      <c r="B942" s="4" t="n"/>
      <c r="C942" s="4" t="n"/>
      <c r="D942" s="4" t="n"/>
      <c r="E942" s="4" t="n"/>
      <c r="F942" s="4" t="n"/>
      <c r="G942" s="4" t="n"/>
    </row>
    <row r="943" ht="30" customHeight="1">
      <c r="A943" s="3" t="inlineStr">
        <is>
          <t>В программе: Тема 7. Кибератаки с использованием методов социальной инженерии (2 часа лекции, 2 часа практические занятия).</t>
        </is>
      </c>
      <c r="B943" s="4" t="n"/>
      <c r="C943" s="4" t="n"/>
      <c r="D943" s="4" t="n"/>
      <c r="E943" s="4" t="n"/>
      <c r="F943" s="4" t="n"/>
      <c r="G943" s="4" t="n"/>
    </row>
    <row r="944" ht="25" customHeight="1">
      <c r="A944" s="23" t="inlineStr">
        <is>
          <t>Исходная программа ОКМ ↗</t>
        </is>
      </c>
      <c r="D944" s="23" t="inlineStr">
        <is>
          <t>Исходный УТП ОКМ ↗</t>
        </is>
      </c>
    </row>
    <row r="945" ht="27" customHeight="1">
      <c r="A945" s="24">
        <f>HYPERLINK("#'Выбор тем'!E"&amp;MATCH("T-A6B24659",'Выбор тем'!$A:$A,0),"← Вернуться к теме")</f>
        <v/>
      </c>
    </row>
    <row r="947" ht="48" customHeight="1">
      <c r="A947" s="18" t="inlineStr">
        <is>
          <t>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t>
        </is>
      </c>
      <c r="B947" s="19" t="n"/>
      <c r="C947" s="19" t="n"/>
      <c r="D947" s="19" t="n"/>
      <c r="E947" s="19" t="n"/>
      <c r="F947" s="19" t="n"/>
      <c r="G947" s="19" t="n"/>
    </row>
    <row r="948" ht="26" customHeight="1">
      <c r="A948" s="3" t="inlineStr">
        <is>
          <t>T-69C5156B · Программы: ОКБО</t>
        </is>
      </c>
      <c r="B948" s="4" t="n"/>
      <c r="C948" s="4" t="n"/>
      <c r="D948" s="4" t="n"/>
      <c r="E948" s="4" t="n"/>
      <c r="F948" s="4" t="n"/>
      <c r="G948" s="4" t="n"/>
    </row>
    <row r="949" ht="27" customHeight="1">
      <c r="A949" s="20" t="inlineStr">
        <is>
          <t>Вариант для: ОКБО</t>
        </is>
      </c>
      <c r="B949" s="21" t="n"/>
      <c r="C949" s="21" t="n"/>
      <c r="D949" s="21" t="n"/>
      <c r="E949" s="21" t="n"/>
      <c r="F949" s="21" t="n"/>
      <c r="G949" s="21" t="n"/>
    </row>
    <row r="950" ht="32" customHeight="1">
      <c r="A950" s="22" t="inlineStr">
        <is>
          <t>Информация. Информационная безопасность. Кибербезопасность.</t>
        </is>
      </c>
      <c r="B950" s="2" t="n"/>
      <c r="C950" s="2" t="n"/>
      <c r="D950" s="2" t="n"/>
      <c r="E950" s="2" t="n"/>
      <c r="F950" s="2" t="n"/>
      <c r="G950" s="2" t="n"/>
    </row>
    <row r="951" ht="48" customHeight="1">
      <c r="A951" s="22" t="inlineStr">
        <is>
          <t>Формы представления информации. Обладатель информации. Информационные отношения. Жизненный цикл информации. Способы восприятия информации. Требования к информации. Информационная технология. Распространение и предоставление информации. Классификация информации.</t>
        </is>
      </c>
      <c r="B951" s="2" t="n"/>
      <c r="C951" s="2" t="n"/>
      <c r="D951" s="2" t="n"/>
      <c r="E951" s="2" t="n"/>
      <c r="F951" s="2" t="n"/>
      <c r="G951" s="2" t="n"/>
    </row>
    <row r="952" ht="48" customHeight="1">
      <c r="A952" s="22" t="inlineStr">
        <is>
          <t>Виды нарушителей. Понятие модели нарушителя. Способы доступа нарушителя к носителю информации. Угроза безопасности информации. Утечка информации.</t>
        </is>
      </c>
      <c r="B952" s="2" t="n"/>
      <c r="C952" s="2" t="n"/>
      <c r="D952" s="2" t="n"/>
      <c r="E952" s="2" t="n"/>
      <c r="F952" s="2" t="n"/>
      <c r="G952" s="2" t="n"/>
    </row>
    <row r="953" ht="32" customHeight="1">
      <c r="A953" s="22" t="inlineStr">
        <is>
          <t>Методы защиты информации. Средства защиты информации. Объект, цель и замысел защиты информации. Система защиты информации.</t>
        </is>
      </c>
      <c r="B953" s="2" t="n"/>
      <c r="C953" s="2" t="n"/>
      <c r="D953" s="2" t="n"/>
      <c r="E953" s="2" t="n"/>
      <c r="F953" s="2" t="n"/>
      <c r="G953" s="2" t="n"/>
    </row>
    <row r="954" ht="32" customHeight="1">
      <c r="A954" s="22" t="inlineStr">
        <is>
          <t>Киберпреступность. Международный опыт противодействия киберпреступности.</t>
        </is>
      </c>
      <c r="B954" s="2" t="n"/>
      <c r="C954" s="2" t="n"/>
      <c r="D954" s="2" t="n"/>
      <c r="E954" s="2" t="n"/>
      <c r="F954" s="2" t="n"/>
      <c r="G954" s="2" t="n"/>
    </row>
    <row r="955" ht="48" customHeight="1">
      <c r="A955" s="22" t="inlineStr">
        <is>
          <t>Глобальный подход к обеспечению кибербезопасности основан на сочетании технических, организационных и правовых мер. Международные стандарты и модели (ISO/IEC, NIST, MITRE) формируют основу единой политики защиты информации.</t>
        </is>
      </c>
      <c r="B955" s="2" t="n"/>
      <c r="C955" s="2" t="n"/>
      <c r="D955" s="2" t="n"/>
      <c r="E955" s="2" t="n"/>
      <c r="F955" s="2" t="n"/>
      <c r="G955" s="2" t="n"/>
    </row>
    <row r="956" ht="32" customHeight="1">
      <c r="A956" s="22" t="inlineStr">
        <is>
          <t>Построение системы обеспечения кибербезопасности в Республике Беларусь.</t>
        </is>
      </c>
      <c r="B956" s="2" t="n"/>
      <c r="C956" s="2" t="n"/>
      <c r="D956" s="2" t="n"/>
      <c r="E956" s="2" t="n"/>
      <c r="F956" s="2" t="n"/>
      <c r="G956" s="2" t="n"/>
    </row>
    <row r="957" ht="51" customHeight="1">
      <c r="A957"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6</t>
        </is>
      </c>
      <c r="B957" s="4" t="n"/>
      <c r="C957" s="4" t="n"/>
      <c r="D957" s="4" t="n"/>
      <c r="E957" s="4" t="n"/>
      <c r="F957" s="4" t="n"/>
      <c r="G957" s="4" t="n"/>
    </row>
    <row r="958" ht="46" customHeight="1">
      <c r="A958" s="3" t="inlineStr">
        <is>
          <t>В программе: Тема 1. Кибербезопасность, информационная безопасность, защита информации. Международный опыт противодействия киберпреступности. Мировая концепция защиты информации. Методология построения национальной системы обеспечения кибербезопасности (3 часа лекции).</t>
        </is>
      </c>
      <c r="B958" s="4" t="n"/>
      <c r="C958" s="4" t="n"/>
      <c r="D958" s="4" t="n"/>
      <c r="E958" s="4" t="n"/>
      <c r="F958" s="4" t="n"/>
      <c r="G958" s="4" t="n"/>
    </row>
    <row r="959" ht="25" customHeight="1">
      <c r="A959" s="23" t="inlineStr">
        <is>
          <t>Исходная программа ОКБО ↗</t>
        </is>
      </c>
      <c r="D959" s="23" t="inlineStr">
        <is>
          <t>Исходный УТП ОКБО ↗</t>
        </is>
      </c>
    </row>
    <row r="960" ht="27" customHeight="1">
      <c r="A960" s="24">
        <f>HYPERLINK("#'Выбор тем'!E"&amp;MATCH("T-69C5156B",'Выбор тем'!$A:$A,0),"← Вернуться к теме")</f>
        <v/>
      </c>
    </row>
    <row r="962" ht="38" customHeight="1">
      <c r="A962" s="18" t="inlineStr">
        <is>
          <t>Кибербезопасность: основные понятия, принципы и проблемы</t>
        </is>
      </c>
      <c r="B962" s="19" t="n"/>
      <c r="C962" s="19" t="n"/>
      <c r="D962" s="19" t="n"/>
      <c r="E962" s="19" t="n"/>
      <c r="F962" s="19" t="n"/>
      <c r="G962" s="19" t="n"/>
    </row>
    <row r="963" ht="26" customHeight="1">
      <c r="A963" s="3" t="inlineStr">
        <is>
          <t>T-AD36124B · Программы: ККС</t>
        </is>
      </c>
      <c r="B963" s="4" t="n"/>
      <c r="C963" s="4" t="n"/>
      <c r="D963" s="4" t="n"/>
      <c r="E963" s="4" t="n"/>
      <c r="F963" s="4" t="n"/>
      <c r="G963" s="4" t="n"/>
    </row>
    <row r="964" ht="27" customHeight="1">
      <c r="A964" s="20" t="inlineStr">
        <is>
          <t>Вариант для: ККС</t>
        </is>
      </c>
      <c r="B964" s="21" t="n"/>
      <c r="C964" s="21" t="n"/>
      <c r="D964" s="21" t="n"/>
      <c r="E964" s="21" t="n"/>
      <c r="F964" s="21" t="n"/>
      <c r="G964" s="21" t="n"/>
    </row>
    <row r="965" ht="32" customHeight="1">
      <c r="A965" s="22" t="inlineStr">
        <is>
          <t>Методология обеспечения кибербезопасности.</t>
        </is>
      </c>
      <c r="B965" s="2" t="n"/>
      <c r="C965" s="2" t="n"/>
      <c r="D965" s="2" t="n"/>
      <c r="E965" s="2" t="n"/>
      <c r="F965" s="2" t="n"/>
      <c r="G965" s="2" t="n"/>
    </row>
    <row r="966" ht="48" customHeight="1">
      <c r="A966" s="22" t="inlineStr">
        <is>
          <t>Информация и формы ее представления. Распространение и предоставление информации. Классификация информации. Общедоступная информация. Информация, распространение и (или) предоставление которой ограничено.</t>
        </is>
      </c>
      <c r="B966" s="2" t="n"/>
      <c r="C966" s="2" t="n"/>
      <c r="D966" s="2" t="n"/>
      <c r="E966" s="2" t="n"/>
      <c r="F966" s="2" t="n"/>
      <c r="G966" s="2" t="n"/>
    </row>
    <row r="967" ht="32" customHeight="1">
      <c r="A967" s="22" t="inlineStr">
        <is>
          <t>Киберугрозы и противодействие им.</t>
        </is>
      </c>
      <c r="B967" s="2" t="n"/>
      <c r="C967" s="2" t="n"/>
      <c r="D967" s="2" t="n"/>
      <c r="E967" s="2" t="n"/>
      <c r="F967" s="2" t="n"/>
      <c r="G967" s="2" t="n"/>
    </row>
    <row r="968" ht="32" customHeight="1">
      <c r="A968" s="22" t="inlineStr">
        <is>
          <t>Модель нарушителя. Ландшафт киберугроз. Модель управления кибербезопасностью.</t>
        </is>
      </c>
      <c r="B968" s="2" t="n"/>
      <c r="C968" s="2" t="n"/>
      <c r="D968" s="2" t="n"/>
      <c r="E968" s="2" t="n"/>
      <c r="F968" s="2" t="n"/>
      <c r="G968" s="2" t="n"/>
    </row>
    <row r="969" ht="51" customHeight="1">
      <c r="A969"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6</t>
        </is>
      </c>
      <c r="B969" s="4" t="n"/>
      <c r="C969" s="4" t="n"/>
      <c r="D969" s="4" t="n"/>
      <c r="E969" s="4" t="n"/>
      <c r="F969" s="4" t="n"/>
      <c r="G969" s="4" t="n"/>
    </row>
    <row r="970" ht="30" customHeight="1">
      <c r="A970" s="3" t="inlineStr">
        <is>
          <t>В программе: Тема 1. Кибербезопасность: основные понятия, принципы и проблемы (4 часа лекции).</t>
        </is>
      </c>
      <c r="B970" s="4" t="n"/>
      <c r="C970" s="4" t="n"/>
      <c r="D970" s="4" t="n"/>
      <c r="E970" s="4" t="n"/>
      <c r="F970" s="4" t="n"/>
      <c r="G970" s="4" t="n"/>
    </row>
    <row r="971" ht="25" customHeight="1">
      <c r="A971" s="23" t="inlineStr">
        <is>
          <t>Исходная программа ККС ↗</t>
        </is>
      </c>
      <c r="D971" s="23" t="inlineStr">
        <is>
          <t>Исходный УТП ККС ↗</t>
        </is>
      </c>
    </row>
    <row r="972" ht="27" customHeight="1">
      <c r="A972" s="24">
        <f>HYPERLINK("#'Выбор тем'!E"&amp;MATCH("T-AD36124B",'Выбор тем'!$A:$A,0),"← Вернуться к теме")</f>
        <v/>
      </c>
    </row>
    <row r="974" ht="38" customHeight="1">
      <c r="A974" s="18" t="inlineStr">
        <is>
          <t>Классификация и типы атак: вредоносное ПО, фишинг, DDoS, эксплойты. Обзор актуальных кибератак</t>
        </is>
      </c>
      <c r="B974" s="19" t="n"/>
      <c r="C974" s="19" t="n"/>
      <c r="D974" s="19" t="n"/>
      <c r="E974" s="19" t="n"/>
      <c r="F974" s="19" t="n"/>
      <c r="G974" s="19" t="n"/>
    </row>
    <row r="975" ht="26" customHeight="1">
      <c r="A975" s="3" t="inlineStr">
        <is>
          <t>T-28FD6216 · Программы: ОКБО</t>
        </is>
      </c>
      <c r="B975" s="4" t="n"/>
      <c r="C975" s="4" t="n"/>
      <c r="D975" s="4" t="n"/>
      <c r="E975" s="4" t="n"/>
      <c r="F975" s="4" t="n"/>
      <c r="G975" s="4" t="n"/>
    </row>
    <row r="976" ht="27" customHeight="1">
      <c r="A976" s="20" t="inlineStr">
        <is>
          <t>Вариант для: ОКБО</t>
        </is>
      </c>
      <c r="B976" s="21" t="n"/>
      <c r="C976" s="21" t="n"/>
      <c r="D976" s="21" t="n"/>
      <c r="E976" s="21" t="n"/>
      <c r="F976" s="21" t="n"/>
      <c r="G976" s="21" t="n"/>
    </row>
    <row r="977" ht="96" customHeight="1">
      <c r="A977" s="22" t="inlineStr">
        <is>
          <t>Классификация по вектору и цели: сетевые, прикладные, социальная инженерия, внутренние угрозы. Вредоносное ПО: ransomware, trojan, backdoor, rootkit — методы распространения и техники уклонения. Атаки на WEB-приложения. Фишинг и целевые фишинговые кампании как основной канал initial access; методы доставки и признаки. DDoS-атаки: типы (volumetric, protocol, application) и базовые меры защиты (scrubbing, rate limiting). Эксплойты и управление уязвимостями: CVE, CVSS, цепочки эксплуатации. Современные тенденции: атаки на цепочки поставок, «двойное» вымогательство, автоматизация массовых компрометаций, использование IoT и мобильных устройств.</t>
        </is>
      </c>
      <c r="B977" s="2" t="n"/>
      <c r="C977" s="2" t="n"/>
      <c r="D977" s="2" t="n"/>
      <c r="E977" s="2" t="n"/>
      <c r="F977" s="2" t="n"/>
      <c r="G977" s="2" t="n"/>
    </row>
    <row r="978" ht="51" customHeight="1">
      <c r="A978" s="3" t="inlineStr">
        <is>
          <t>ОКБО — Обеспечение кибербезопасности организаций
Раздел: Введение в кибербезопасность · УТП: таблица 2, строка 11</t>
        </is>
      </c>
      <c r="B978" s="4" t="n"/>
      <c r="C978" s="4" t="n"/>
      <c r="D978" s="4" t="n"/>
      <c r="E978" s="4" t="n"/>
      <c r="F978" s="4" t="n"/>
      <c r="G978" s="4" t="n"/>
    </row>
    <row r="979" ht="30" customHeight="1">
      <c r="A979" s="3" t="inlineStr">
        <is>
          <t>В программе: Тема 2. Классификация и типы атак: вредоносное ПО, фишинг, DDoS, эксплойты. Обзор актуальных кибератак (3 часа лекции).</t>
        </is>
      </c>
      <c r="B979" s="4" t="n"/>
      <c r="C979" s="4" t="n"/>
      <c r="D979" s="4" t="n"/>
      <c r="E979" s="4" t="n"/>
      <c r="F979" s="4" t="n"/>
      <c r="G979" s="4" t="n"/>
    </row>
    <row r="980" ht="25" customHeight="1">
      <c r="A980" s="23" t="inlineStr">
        <is>
          <t>Исходная программа ОКБО ↗</t>
        </is>
      </c>
      <c r="D980" s="23" t="inlineStr">
        <is>
          <t>Исходный УТП ОКБО ↗</t>
        </is>
      </c>
    </row>
    <row r="981" ht="27" customHeight="1">
      <c r="A981" s="24">
        <f>HYPERLINK("#'Выбор тем'!E"&amp;MATCH("T-28FD6216",'Выбор тем'!$A:$A,0),"← Вернуться к теме")</f>
        <v/>
      </c>
    </row>
    <row r="983" ht="38" customHeight="1">
      <c r="A983" s="18" t="inlineStr">
        <is>
          <t>Классификация информационной системы</t>
        </is>
      </c>
      <c r="B983" s="19" t="n"/>
      <c r="C983" s="19" t="n"/>
      <c r="D983" s="19" t="n"/>
      <c r="E983" s="19" t="n"/>
      <c r="F983" s="19" t="n"/>
      <c r="G983" s="19" t="n"/>
    </row>
    <row r="984" ht="26" customHeight="1">
      <c r="A984" s="3" t="inlineStr">
        <is>
          <t>T-71B1D2B7 · Программы: ПСАЭ</t>
        </is>
      </c>
      <c r="B984" s="4" t="n"/>
      <c r="C984" s="4" t="n"/>
      <c r="D984" s="4" t="n"/>
      <c r="E984" s="4" t="n"/>
      <c r="F984" s="4" t="n"/>
      <c r="G984" s="4" t="n"/>
    </row>
    <row r="985" ht="27" customHeight="1">
      <c r="A985" s="20" t="inlineStr">
        <is>
          <t>Вариант для: ПСАЭ</t>
        </is>
      </c>
      <c r="B985" s="21" t="n"/>
      <c r="C985" s="21" t="n"/>
      <c r="D985" s="21" t="n"/>
      <c r="E985" s="21" t="n"/>
      <c r="F985" s="21" t="n"/>
      <c r="G985" s="21" t="n"/>
    </row>
    <row r="986" ht="31" customHeight="1">
      <c r="A986"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986" s="26" t="n"/>
      <c r="C986" s="26" t="n"/>
      <c r="D986" s="26" t="n"/>
      <c r="E986" s="26" t="n"/>
      <c r="F986" s="26" t="n"/>
      <c r="G986" s="26" t="n"/>
    </row>
    <row r="987" ht="32" customHeight="1">
      <c r="A987" s="22" t="inlineStr">
        <is>
          <t>Обследование и анализ исходных данных на информационную систему.</t>
        </is>
      </c>
      <c r="B987" s="2" t="n"/>
      <c r="C987" s="2" t="n"/>
      <c r="D987" s="2" t="n"/>
      <c r="E987" s="2" t="n"/>
      <c r="F987" s="2" t="n"/>
      <c r="G987" s="2" t="n"/>
    </row>
    <row r="988" ht="32" customHeight="1">
      <c r="A988" s="22" t="inlineStr">
        <is>
          <t>Классификация информационной системы.</t>
        </is>
      </c>
      <c r="B988" s="2" t="n"/>
      <c r="C988" s="2" t="n"/>
      <c r="D988" s="2" t="n"/>
      <c r="E988" s="2" t="n"/>
      <c r="F988" s="2" t="n"/>
      <c r="G988" s="2" t="n"/>
    </row>
    <row r="989" ht="32" customHeight="1">
      <c r="A989" s="22" t="inlineStr">
        <is>
          <t>Разработка политики информационной безопасности.</t>
        </is>
      </c>
      <c r="B989" s="2" t="n"/>
      <c r="C989" s="2" t="n"/>
      <c r="D989" s="2" t="n"/>
      <c r="E989" s="2" t="n"/>
      <c r="F989" s="2" t="n"/>
      <c r="G989" s="2" t="n"/>
    </row>
    <row r="990" ht="32" customHeight="1">
      <c r="A990" s="22" t="inlineStr">
        <is>
          <t>Разработка технического задания на создание системы защиты информации.</t>
        </is>
      </c>
      <c r="B990" s="2" t="n"/>
      <c r="C990" s="2" t="n"/>
      <c r="D990" s="2" t="n"/>
      <c r="E990" s="2" t="n"/>
      <c r="F990" s="2" t="n"/>
      <c r="G990" s="2" t="n"/>
    </row>
    <row r="991" ht="51" customHeight="1">
      <c r="A991"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13</t>
        </is>
      </c>
      <c r="B991" s="4" t="n"/>
      <c r="C991" s="4" t="n"/>
      <c r="D991" s="4" t="n"/>
      <c r="E991" s="4" t="n"/>
      <c r="F991" s="4" t="n"/>
      <c r="G991" s="4" t="n"/>
    </row>
    <row r="992" ht="30" customHeight="1">
      <c r="A992" s="3" t="inlineStr">
        <is>
          <t>В программе: Тема 3. Практикум (8 часов практические занятия).</t>
        </is>
      </c>
      <c r="B992" s="4" t="n"/>
      <c r="C992" s="4" t="n"/>
      <c r="D992" s="4" t="n"/>
      <c r="E992" s="4" t="n"/>
      <c r="F992" s="4" t="n"/>
      <c r="G992" s="4" t="n"/>
    </row>
    <row r="993" ht="25" customHeight="1">
      <c r="A993" s="23" t="inlineStr">
        <is>
          <t>Исходная программа ПСАЭ ↗</t>
        </is>
      </c>
      <c r="D993" s="23" t="inlineStr">
        <is>
          <t>Исходный УТП ПСАЭ ↗</t>
        </is>
      </c>
    </row>
    <row r="994" ht="27" customHeight="1">
      <c r="A994" s="24">
        <f>HYPERLINK("#'Выбор тем'!E"&amp;MATCH("T-71B1D2B7",'Выбор тем'!$A:$A,0),"← Вернуться к теме")</f>
        <v/>
      </c>
    </row>
    <row r="996" ht="38" customHeight="1">
      <c r="A996" s="18" t="inlineStr">
        <is>
          <t>Классификация средств криптографической защиты информации</t>
        </is>
      </c>
      <c r="B996" s="19" t="n"/>
      <c r="C996" s="19" t="n"/>
      <c r="D996" s="19" t="n"/>
      <c r="E996" s="19" t="n"/>
      <c r="F996" s="19" t="n"/>
      <c r="G996" s="19" t="n"/>
    </row>
    <row r="997" ht="26" customHeight="1">
      <c r="A997" s="3" t="inlineStr">
        <is>
          <t>T-DEF0549C · Программы: КЗИ</t>
        </is>
      </c>
      <c r="B997" s="4" t="n"/>
      <c r="C997" s="4" t="n"/>
      <c r="D997" s="4" t="n"/>
      <c r="E997" s="4" t="n"/>
      <c r="F997" s="4" t="n"/>
      <c r="G997" s="4" t="n"/>
    </row>
    <row r="998" ht="27" customHeight="1">
      <c r="A998" s="20" t="inlineStr">
        <is>
          <t>Вариант для: КЗИ</t>
        </is>
      </c>
      <c r="B998" s="21" t="n"/>
      <c r="C998" s="21" t="n"/>
      <c r="D998" s="21" t="n"/>
      <c r="E998" s="21" t="n"/>
      <c r="F998" s="21" t="n"/>
      <c r="G998" s="21" t="n"/>
    </row>
    <row r="999" ht="64" customHeight="1">
      <c r="A999" s="22" t="inlineStr">
        <is>
          <t>Основные виды средств криптографической защиты информации. Сертификация средств криптографической защиты информации. Основные технические нормативные правовые акты, определяющие требования к средствам криптографической защиты информации. Требования ТР2013/027/BY. Основные возможности и механизмы.</t>
        </is>
      </c>
      <c r="B999" s="2" t="n"/>
      <c r="C999" s="2" t="n"/>
      <c r="D999" s="2" t="n"/>
      <c r="E999" s="2" t="n"/>
      <c r="F999" s="2" t="n"/>
      <c r="G999" s="2" t="n"/>
    </row>
    <row r="1000" ht="51" customHeight="1">
      <c r="A1000" s="3" t="inlineStr">
        <is>
          <t>КЗИ — Криптографическая защита информации
Раздел: Средства криптографической защиты информации · УТП: таблица 2, строка 13</t>
        </is>
      </c>
      <c r="B1000" s="4" t="n"/>
      <c r="C1000" s="4" t="n"/>
      <c r="D1000" s="4" t="n"/>
      <c r="E1000" s="4" t="n"/>
      <c r="F1000" s="4" t="n"/>
      <c r="G1000" s="4" t="n"/>
    </row>
    <row r="1001" ht="30" customHeight="1">
      <c r="A1001" s="3" t="inlineStr">
        <is>
          <t>В программе: Тема 1. Классификация средств криптографической защиты информации (2 часа лекции).</t>
        </is>
      </c>
      <c r="B1001" s="4" t="n"/>
      <c r="C1001" s="4" t="n"/>
      <c r="D1001" s="4" t="n"/>
      <c r="E1001" s="4" t="n"/>
      <c r="F1001" s="4" t="n"/>
      <c r="G1001" s="4" t="n"/>
    </row>
    <row r="1002" ht="25" customHeight="1">
      <c r="A1002" s="23" t="inlineStr">
        <is>
          <t>Исходная программа КЗИ ↗</t>
        </is>
      </c>
      <c r="D1002" s="23" t="inlineStr">
        <is>
          <t>Исходный УТП КЗИ ↗</t>
        </is>
      </c>
    </row>
    <row r="1003" ht="27" customHeight="1">
      <c r="A1003" s="24">
        <f>HYPERLINK("#'Выбор тем'!E"&amp;MATCH("T-DEF0549C",'Выбор тем'!$A:$A,0),"← Вернуться к теме")</f>
        <v/>
      </c>
    </row>
    <row r="1005" ht="38" customHeight="1">
      <c r="A1005" s="18" t="inlineStr">
        <is>
          <t>Классы типовых информационных систем</t>
        </is>
      </c>
      <c r="B1005" s="19" t="n"/>
      <c r="C1005" s="19" t="n"/>
      <c r="D1005" s="19" t="n"/>
      <c r="E1005" s="19" t="n"/>
      <c r="F1005" s="19" t="n"/>
      <c r="G1005" s="19" t="n"/>
    </row>
    <row r="1006" ht="26" customHeight="1">
      <c r="A1006" s="3" t="inlineStr">
        <is>
          <t>T-333B4F4F · Программы: ПСАЭ</t>
        </is>
      </c>
      <c r="B1006" s="4" t="n"/>
      <c r="C1006" s="4" t="n"/>
      <c r="D1006" s="4" t="n"/>
      <c r="E1006" s="4" t="n"/>
      <c r="F1006" s="4" t="n"/>
      <c r="G1006" s="4" t="n"/>
    </row>
    <row r="1007" ht="27" customHeight="1">
      <c r="A1007" s="20" t="inlineStr">
        <is>
          <t>Вариант для: ПСАЭ</t>
        </is>
      </c>
      <c r="B1007" s="21" t="n"/>
      <c r="C1007" s="21" t="n"/>
      <c r="D1007" s="21" t="n"/>
      <c r="E1007" s="21" t="n"/>
      <c r="F1007" s="21" t="n"/>
      <c r="G1007" s="21" t="n"/>
    </row>
    <row r="1008" ht="48" customHeight="1">
      <c r="A1008" s="22" t="inlineStr">
        <is>
          <t>Категорирование обрабатываемой информации. Отнесение информационных систем к классам типовых. Обработка персональных данных. Коммерческая тайна. Служебная информация ограниченного распространения.</t>
        </is>
      </c>
      <c r="B1008" s="2" t="n"/>
      <c r="C1008" s="2" t="n"/>
      <c r="D1008" s="2" t="n"/>
      <c r="E1008" s="2" t="n"/>
      <c r="F1008" s="2" t="n"/>
      <c r="G1008" s="2" t="n"/>
    </row>
    <row r="1009" ht="51" customHeight="1">
      <c r="A1009"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9</t>
        </is>
      </c>
      <c r="B1009" s="4" t="n"/>
      <c r="C1009" s="4" t="n"/>
      <c r="D1009" s="4" t="n"/>
      <c r="E1009" s="4" t="n"/>
      <c r="F1009" s="4" t="n"/>
      <c r="G1009" s="4" t="n"/>
    </row>
    <row r="1010" ht="30" customHeight="1">
      <c r="A1010" s="3" t="inlineStr">
        <is>
          <t>В программе: Тема 1. Классы типовых информационных систем (4 часа лекции).</t>
        </is>
      </c>
      <c r="B1010" s="4" t="n"/>
      <c r="C1010" s="4" t="n"/>
      <c r="D1010" s="4" t="n"/>
      <c r="E1010" s="4" t="n"/>
      <c r="F1010" s="4" t="n"/>
      <c r="G1010" s="4" t="n"/>
    </row>
    <row r="1011" ht="25" customHeight="1">
      <c r="A1011" s="23" t="inlineStr">
        <is>
          <t>Исходная программа ПСАЭ ↗</t>
        </is>
      </c>
      <c r="D1011" s="23" t="inlineStr">
        <is>
          <t>Исходный УТП ПСАЭ ↗</t>
        </is>
      </c>
    </row>
    <row r="1012" ht="27" customHeight="1">
      <c r="A1012" s="24">
        <f>HYPERLINK("#'Выбор тем'!E"&amp;MATCH("T-333B4F4F",'Выбор тем'!$A:$A,0),"← Вернуться к теме")</f>
        <v/>
      </c>
    </row>
    <row r="1014" ht="38" customHeight="1">
      <c r="A1014" s="18" t="inlineStr">
        <is>
          <t>Клиент-серверные взаимодействия и протоколы приложений</t>
        </is>
      </c>
      <c r="B1014" s="19" t="n"/>
      <c r="C1014" s="19" t="n"/>
      <c r="D1014" s="19" t="n"/>
      <c r="E1014" s="19" t="n"/>
      <c r="F1014" s="19" t="n"/>
      <c r="G1014" s="19" t="n"/>
    </row>
    <row r="1015" ht="26" customHeight="1">
      <c r="A1015" s="3" t="inlineStr">
        <is>
          <t>T-9038F853 · Программы: ОПКС</t>
        </is>
      </c>
      <c r="B1015" s="4" t="n"/>
      <c r="C1015" s="4" t="n"/>
      <c r="D1015" s="4" t="n"/>
      <c r="E1015" s="4" t="n"/>
      <c r="F1015" s="4" t="n"/>
      <c r="G1015" s="4" t="n"/>
    </row>
    <row r="1016" ht="27" customHeight="1">
      <c r="A1016" s="20" t="inlineStr">
        <is>
          <t>Вариант для: ОПКС</t>
        </is>
      </c>
      <c r="B1016" s="21" t="n"/>
      <c r="C1016" s="21" t="n"/>
      <c r="D1016" s="21" t="n"/>
      <c r="E1016" s="21" t="n"/>
      <c r="F1016" s="21" t="n"/>
      <c r="G1016" s="21" t="n"/>
    </row>
    <row r="1017" ht="80" customHeight="1">
      <c r="A1017" s="22" t="inlineStr">
        <is>
          <t>Определение сервера и клиента. Протоколы транспортного уровня. Трехстороннее рукопожатие. Отличие протоколов TCP и UDP. Формат заголовков TCP и UDP пакетов. Протоколы прикладного уровня модели OSI. Принцип работы DNS. Итеративная и рекурсивная процедуры разрешения DNS-имени. Записи ресурсов DNS. Обратное разрешение имен DNS. Средства диагностики проблем с DNS. Протоколы HTTP и HTTPs. Сравнение версий HTTP протокола. Отличия в обмене сообщениями по протоколам HTTP и HTTPS. Протоколы для обмена почтовыми сообщениями.</t>
        </is>
      </c>
      <c r="B1017" s="2" t="n"/>
      <c r="C1017" s="2" t="n"/>
      <c r="D1017" s="2" t="n"/>
      <c r="E1017" s="2" t="n"/>
      <c r="F1017" s="2" t="n"/>
      <c r="G1017" s="2" t="n"/>
    </row>
    <row r="1018" ht="51" customHeight="1">
      <c r="A1018"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14</t>
        </is>
      </c>
      <c r="B1018" s="4" t="n"/>
      <c r="C1018" s="4" t="n"/>
      <c r="D1018" s="4" t="n"/>
      <c r="E1018" s="4" t="n"/>
      <c r="F1018" s="4" t="n"/>
      <c r="G1018" s="4" t="n"/>
    </row>
    <row r="1019" ht="30" customHeight="1">
      <c r="A1019" s="3" t="inlineStr">
        <is>
          <t>В программе: Тема 9. Клиент-серверные взаимодействия и протоколы приложений (2 часа лекции, 2 часа лабораторные занятия).</t>
        </is>
      </c>
      <c r="B1019" s="4" t="n"/>
      <c r="C1019" s="4" t="n"/>
      <c r="D1019" s="4" t="n"/>
      <c r="E1019" s="4" t="n"/>
      <c r="F1019" s="4" t="n"/>
      <c r="G1019" s="4" t="n"/>
    </row>
    <row r="1020" ht="25" customHeight="1">
      <c r="A1020" s="23" t="inlineStr">
        <is>
          <t>Исходная программа ОПКС ↗</t>
        </is>
      </c>
      <c r="D1020" s="23" t="inlineStr">
        <is>
          <t>Исходный УТП ОПКС ↗</t>
        </is>
      </c>
    </row>
    <row r="1021" ht="27" customHeight="1">
      <c r="A1021" s="24">
        <f>HYPERLINK("#'Выбор тем'!E"&amp;MATCH("T-9038F853",'Выбор тем'!$A:$A,0),"← Вернуться к теме")</f>
        <v/>
      </c>
    </row>
    <row r="1023" ht="38" customHeight="1">
      <c r="A1023" s="18" t="inlineStr">
        <is>
          <t>Клиентоцентричное проектирование государственных услуг и процессов</t>
        </is>
      </c>
      <c r="B1023" s="19" t="n"/>
      <c r="C1023" s="19" t="n"/>
      <c r="D1023" s="19" t="n"/>
      <c r="E1023" s="19" t="n"/>
      <c r="F1023" s="19" t="n"/>
      <c r="G1023" s="19" t="n"/>
    </row>
    <row r="1024" ht="26" customHeight="1">
      <c r="A1024" s="3" t="inlineStr">
        <is>
          <t>T-D97450A3 · Программы: ЦТГУ</t>
        </is>
      </c>
      <c r="B1024" s="4" t="n"/>
      <c r="C1024" s="4" t="n"/>
      <c r="D1024" s="4" t="n"/>
      <c r="E1024" s="4" t="n"/>
      <c r="F1024" s="4" t="n"/>
      <c r="G1024" s="4" t="n"/>
    </row>
    <row r="1025" ht="27" customHeight="1">
      <c r="A1025" s="20" t="inlineStr">
        <is>
          <t>Вариант для: ЦТГУ</t>
        </is>
      </c>
      <c r="B1025" s="21" t="n"/>
      <c r="C1025" s="21" t="n"/>
      <c r="D1025" s="21" t="n"/>
      <c r="E1025" s="21" t="n"/>
      <c r="F1025" s="21" t="n"/>
      <c r="G1025" s="21" t="n"/>
    </row>
    <row r="1026" ht="48" customHeight="1">
      <c r="A1026" s="22" t="inlineStr">
        <is>
          <t>Клиентоцентричность как принцип цифрового государства. Построение пользовательского пути. Требования к сервису и качеству обслуживания. Показатели удовлетворённости и эффективности.</t>
        </is>
      </c>
      <c r="B1026" s="2" t="n"/>
      <c r="C1026" s="2" t="n"/>
      <c r="D1026" s="2" t="n"/>
      <c r="E1026" s="2" t="n"/>
      <c r="F1026" s="2" t="n"/>
      <c r="G1026" s="2" t="n"/>
    </row>
    <row r="1027" ht="51" customHeight="1">
      <c r="A1027" s="3" t="inlineStr">
        <is>
          <t>ЦТГУ — Цифровая трансформация государственного управления
Раздел: Нулевая бюрократия и клиентоцентричность · УТП: таблица 2, строка 13</t>
        </is>
      </c>
      <c r="B1027" s="4" t="n"/>
      <c r="C1027" s="4" t="n"/>
      <c r="D1027" s="4" t="n"/>
      <c r="E1027" s="4" t="n"/>
      <c r="F1027" s="4" t="n"/>
      <c r="G1027" s="4" t="n"/>
    </row>
    <row r="1028" ht="30" customHeight="1">
      <c r="A1028" s="3" t="inlineStr">
        <is>
          <t>В программе: Тема 2. Клиентоцентричное проектирование государственных услуг и процессов (2 часа лекции).</t>
        </is>
      </c>
      <c r="B1028" s="4" t="n"/>
      <c r="C1028" s="4" t="n"/>
      <c r="D1028" s="4" t="n"/>
      <c r="E1028" s="4" t="n"/>
      <c r="F1028" s="4" t="n"/>
      <c r="G1028" s="4" t="n"/>
    </row>
    <row r="1029" ht="25" customHeight="1">
      <c r="A1029" s="23" t="inlineStr">
        <is>
          <t>Исходная программа ЦТГУ ↗</t>
        </is>
      </c>
      <c r="D1029" s="23" t="inlineStr">
        <is>
          <t>Исходный УТП ЦТГУ ↗</t>
        </is>
      </c>
    </row>
    <row r="1030" ht="27" customHeight="1">
      <c r="A1030" s="24">
        <f>HYPERLINK("#'Выбор тем'!E"&amp;MATCH("T-D97450A3",'Выбор тем'!$A:$A,0),"← Вернуться к теме")</f>
        <v/>
      </c>
    </row>
    <row r="1032" ht="38" customHeight="1">
      <c r="A1032" s="18" t="inlineStr">
        <is>
          <t>Контроль доступа пользователей в сеть</t>
        </is>
      </c>
      <c r="B1032" s="19" t="n"/>
      <c r="C1032" s="19" t="n"/>
      <c r="D1032" s="19" t="n"/>
      <c r="E1032" s="19" t="n"/>
      <c r="F1032" s="19" t="n"/>
      <c r="G1032" s="19" t="n"/>
    </row>
    <row r="1033" ht="26" customHeight="1">
      <c r="A1033" s="3" t="inlineStr">
        <is>
          <t>T-0919F413 · Программы: ТК</t>
        </is>
      </c>
      <c r="B1033" s="4" t="n"/>
      <c r="C1033" s="4" t="n"/>
      <c r="D1033" s="4" t="n"/>
      <c r="E1033" s="4" t="n"/>
      <c r="F1033" s="4" t="n"/>
      <c r="G1033" s="4" t="n"/>
    </row>
    <row r="1034" ht="27" customHeight="1">
      <c r="A1034" s="20" t="inlineStr">
        <is>
          <t>Вариант для: ТК</t>
        </is>
      </c>
      <c r="B1034" s="21" t="n"/>
      <c r="C1034" s="21" t="n"/>
      <c r="D1034" s="21" t="n"/>
      <c r="E1034" s="21" t="n"/>
      <c r="F1034" s="21" t="n"/>
      <c r="G1034" s="21" t="n"/>
    </row>
    <row r="1035" ht="64" customHeight="1">
      <c r="A1035" s="22" t="inlineStr">
        <is>
          <t>Сравнительная характеристика протоколов RADIUS и TACACS+. Назначение стандарта 802.1x, основные элементы. Протокол EAPOL. Процесс настройки оборудования для использования стандарта 802.1x. Этапы работы протокола EAPOL. Процесс настройки аутентификации пользователей для доступа к сети по стандарту 802.1x.</t>
        </is>
      </c>
      <c r="B1035" s="2" t="n"/>
      <c r="C1035" s="2" t="n"/>
      <c r="D1035" s="2" t="n"/>
      <c r="E1035" s="2" t="n"/>
      <c r="F1035" s="2" t="n"/>
      <c r="G1035" s="2" t="n"/>
    </row>
    <row r="1036" ht="51" customHeight="1">
      <c r="A1036"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19</t>
        </is>
      </c>
      <c r="B1036" s="4" t="n"/>
      <c r="C1036" s="4" t="n"/>
      <c r="D1036" s="4" t="n"/>
      <c r="E1036" s="4" t="n"/>
      <c r="F1036" s="4" t="n"/>
      <c r="G1036" s="4" t="n"/>
    </row>
    <row r="1037" ht="30" customHeight="1">
      <c r="A1037" s="3" t="inlineStr">
        <is>
          <t>В программе: Тема 7. Контроль доступа пользователей в сеть (2 часа лекции, 2 часа лабораторные занятия).</t>
        </is>
      </c>
      <c r="B1037" s="4" t="n"/>
      <c r="C1037" s="4" t="n"/>
      <c r="D1037" s="4" t="n"/>
      <c r="E1037" s="4" t="n"/>
      <c r="F1037" s="4" t="n"/>
      <c r="G1037" s="4" t="n"/>
    </row>
    <row r="1038" ht="25" customHeight="1">
      <c r="A1038" s="23" t="inlineStr">
        <is>
          <t>Исходная программа ТК ↗</t>
        </is>
      </c>
      <c r="D1038" s="23" t="inlineStr">
        <is>
          <t>Исходный УТП ТК ↗</t>
        </is>
      </c>
    </row>
    <row r="1039" ht="27" customHeight="1">
      <c r="A1039" s="24">
        <f>HYPERLINK("#'Выбор тем'!E"&amp;MATCH("T-0919F413",'Выбор тем'!$A:$A,0),"← Вернуться к теме")</f>
        <v/>
      </c>
    </row>
    <row r="1041" ht="38" customHeight="1">
      <c r="A1041" s="18" t="inlineStr">
        <is>
          <t>Концепция обеспечения кибербезопасности</t>
        </is>
      </c>
      <c r="B1041" s="19" t="n"/>
      <c r="C1041" s="19" t="n"/>
      <c r="D1041" s="19" t="n"/>
      <c r="E1041" s="19" t="n"/>
      <c r="F1041" s="19" t="n"/>
      <c r="G1041" s="19" t="n"/>
    </row>
    <row r="1042" ht="26" customHeight="1">
      <c r="A1042" s="3" t="inlineStr">
        <is>
          <t>T-10D20CB4 · Программы: ОКМ</t>
        </is>
      </c>
      <c r="B1042" s="4" t="n"/>
      <c r="C1042" s="4" t="n"/>
      <c r="D1042" s="4" t="n"/>
      <c r="E1042" s="4" t="n"/>
      <c r="F1042" s="4" t="n"/>
      <c r="G1042" s="4" t="n"/>
    </row>
    <row r="1043" ht="27" customHeight="1">
      <c r="A1043" s="20" t="inlineStr">
        <is>
          <t>Вариант для: ОКМ</t>
        </is>
      </c>
      <c r="B1043" s="21" t="n"/>
      <c r="C1043" s="21" t="n"/>
      <c r="D1043" s="21" t="n"/>
      <c r="E1043" s="21" t="n"/>
      <c r="F1043" s="21" t="n"/>
      <c r="G1043" s="21" t="n"/>
    </row>
    <row r="1044" ht="64" customHeight="1">
      <c r="A1044" s="22" t="inlineStr">
        <is>
          <t>Архитектура объекта информационной инфраструктуры. Концепция обеспечения безопасности информации и ее реализация. Контроль доступа к информационным ресурсам. Организация системы парольной защиты в информационных системах. Журналы событий. Оценка стойкости паролей. Обеспечение надежности функционирования информационных систем.</t>
        </is>
      </c>
      <c r="B1044" s="2" t="n"/>
      <c r="C1044" s="2" t="n"/>
      <c r="D1044" s="2" t="n"/>
      <c r="E1044" s="2" t="n"/>
      <c r="F1044" s="2" t="n"/>
      <c r="G1044" s="2" t="n"/>
    </row>
    <row r="1045" ht="32" customHeight="1">
      <c r="A1045" s="22" t="inlineStr">
        <is>
          <t>Киберугрозы и противодействие им.</t>
        </is>
      </c>
      <c r="B1045" s="2" t="n"/>
      <c r="C1045" s="2" t="n"/>
      <c r="D1045" s="2" t="n"/>
      <c r="E1045" s="2" t="n"/>
      <c r="F1045" s="2" t="n"/>
      <c r="G1045" s="2" t="n"/>
    </row>
    <row r="1046" ht="32" customHeight="1">
      <c r="A1046" s="22" t="inlineStr">
        <is>
          <t>Модель нарушителя. Ландшафт киберугроз. Модель управления кибербезопасностью.</t>
        </is>
      </c>
      <c r="B1046" s="2" t="n"/>
      <c r="C1046" s="2" t="n"/>
      <c r="D1046" s="2" t="n"/>
      <c r="E1046" s="2" t="n"/>
      <c r="F1046" s="2" t="n"/>
      <c r="G1046" s="2" t="n"/>
    </row>
    <row r="1047" ht="51" customHeight="1">
      <c r="A1047"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8</t>
        </is>
      </c>
      <c r="B1047" s="4" t="n"/>
      <c r="C1047" s="4" t="n"/>
      <c r="D1047" s="4" t="n"/>
      <c r="E1047" s="4" t="n"/>
      <c r="F1047" s="4" t="n"/>
      <c r="G1047" s="4" t="n"/>
    </row>
    <row r="1048" ht="30" customHeight="1">
      <c r="A1048" s="3" t="inlineStr">
        <is>
          <t>В программе: Тема 3. Концепция обеспечения кибербезопасности (4 часа лекции, 2 часа практические занятия).</t>
        </is>
      </c>
      <c r="B1048" s="4" t="n"/>
      <c r="C1048" s="4" t="n"/>
      <c r="D1048" s="4" t="n"/>
      <c r="E1048" s="4" t="n"/>
      <c r="F1048" s="4" t="n"/>
      <c r="G1048" s="4" t="n"/>
    </row>
    <row r="1049" ht="25" customHeight="1">
      <c r="A1049" s="23" t="inlineStr">
        <is>
          <t>Исходная программа ОКМ ↗</t>
        </is>
      </c>
      <c r="D1049" s="23" t="inlineStr">
        <is>
          <t>Исходный УТП ОКМ ↗</t>
        </is>
      </c>
    </row>
    <row r="1050" ht="27" customHeight="1">
      <c r="A1050" s="24">
        <f>HYPERLINK("#'Выбор тем'!E"&amp;MATCH("T-10D20CB4",'Выбор тем'!$A:$A,0),"← Вернуться к теме")</f>
        <v/>
      </c>
    </row>
    <row r="1052" ht="38" customHeight="1">
      <c r="A1052" s="18" t="inlineStr">
        <is>
          <t>Краткая история криптографии</t>
        </is>
      </c>
      <c r="B1052" s="19" t="n"/>
      <c r="C1052" s="19" t="n"/>
      <c r="D1052" s="19" t="n"/>
      <c r="E1052" s="19" t="n"/>
      <c r="F1052" s="19" t="n"/>
      <c r="G1052" s="19" t="n"/>
    </row>
    <row r="1053" ht="26" customHeight="1">
      <c r="A1053" s="3" t="inlineStr">
        <is>
          <t>T-FDD82DDB · Программы: КЗИ</t>
        </is>
      </c>
      <c r="B1053" s="4" t="n"/>
      <c r="C1053" s="4" t="n"/>
      <c r="D1053" s="4" t="n"/>
      <c r="E1053" s="4" t="n"/>
      <c r="F1053" s="4" t="n"/>
      <c r="G1053" s="4" t="n"/>
    </row>
    <row r="1054" ht="27" customHeight="1">
      <c r="A1054" s="20" t="inlineStr">
        <is>
          <t>Вариант для: КЗИ</t>
        </is>
      </c>
      <c r="B1054" s="21" t="n"/>
      <c r="C1054" s="21" t="n"/>
      <c r="D1054" s="21" t="n"/>
      <c r="E1054" s="21" t="n"/>
      <c r="F1054" s="21" t="n"/>
      <c r="G1054" s="21" t="n"/>
    </row>
    <row r="1055" ht="48" customHeight="1">
      <c r="A1055" s="22" t="inlineStr">
        <is>
          <t>Шифры простой замены и перестановки (шифр Цезаря, шифр Сцитала и т.д.). Многозначные шифры. Механические и электромеханические шифраторы. Классификация криптографических примитивов.</t>
        </is>
      </c>
      <c r="B1055" s="2" t="n"/>
      <c r="C1055" s="2" t="n"/>
      <c r="D1055" s="2" t="n"/>
      <c r="E1055" s="2" t="n"/>
      <c r="F1055" s="2" t="n"/>
      <c r="G1055" s="2" t="n"/>
    </row>
    <row r="1056" ht="51" customHeight="1">
      <c r="A1056" s="3" t="inlineStr">
        <is>
          <t>КЗИ — Криптографическая защита информации
Раздел: Основы криптографической защиты информации · УТП: таблица 2, строка 7</t>
        </is>
      </c>
      <c r="B1056" s="4" t="n"/>
      <c r="C1056" s="4" t="n"/>
      <c r="D1056" s="4" t="n"/>
      <c r="E1056" s="4" t="n"/>
      <c r="F1056" s="4" t="n"/>
      <c r="G1056" s="4" t="n"/>
    </row>
    <row r="1057" ht="30" customHeight="1">
      <c r="A1057" s="3" t="inlineStr">
        <is>
          <t>В программе: Тема 2. Краткая история криптографии (2 часа лекции).</t>
        </is>
      </c>
      <c r="B1057" s="4" t="n"/>
      <c r="C1057" s="4" t="n"/>
      <c r="D1057" s="4" t="n"/>
      <c r="E1057" s="4" t="n"/>
      <c r="F1057" s="4" t="n"/>
      <c r="G1057" s="4" t="n"/>
    </row>
    <row r="1058" ht="25" customHeight="1">
      <c r="A1058" s="23" t="inlineStr">
        <is>
          <t>Исходная программа КЗИ ↗</t>
        </is>
      </c>
      <c r="D1058" s="23" t="inlineStr">
        <is>
          <t>Исходный УТП КЗИ ↗</t>
        </is>
      </c>
    </row>
    <row r="1059" ht="27" customHeight="1">
      <c r="A1059" s="24">
        <f>HYPERLINK("#'Выбор тем'!E"&amp;MATCH("T-FDD82DDB",'Выбор тем'!$A:$A,0),"← Вернуться к теме")</f>
        <v/>
      </c>
    </row>
    <row r="1061" ht="38" customHeight="1">
      <c r="A1061" s="18" t="inlineStr">
        <is>
          <t>Криптографическая защита информации</t>
        </is>
      </c>
      <c r="B1061" s="19" t="n"/>
      <c r="C1061" s="19" t="n"/>
      <c r="D1061" s="19" t="n"/>
      <c r="E1061" s="19" t="n"/>
      <c r="F1061" s="19" t="n"/>
      <c r="G1061" s="19" t="n"/>
    </row>
    <row r="1062" ht="26" customHeight="1">
      <c r="A1062" s="3" t="inlineStr">
        <is>
          <t>T-A1853F0E · Программы: АКБ, АУРИК, БКТ, ЗИКС, ТЗПД</t>
        </is>
      </c>
      <c r="B1062" s="4" t="n"/>
      <c r="C1062" s="4" t="n"/>
      <c r="D1062" s="4" t="n"/>
      <c r="E1062" s="4" t="n"/>
      <c r="F1062" s="4" t="n"/>
      <c r="G1062" s="4" t="n"/>
    </row>
    <row r="1063" ht="27" customHeight="1">
      <c r="A1063" s="20" t="inlineStr">
        <is>
          <t>Вариант для: АКБ</t>
        </is>
      </c>
      <c r="B1063" s="21" t="n"/>
      <c r="C1063" s="21" t="n"/>
      <c r="D1063" s="21" t="n"/>
      <c r="E1063" s="21" t="n"/>
      <c r="F1063" s="21" t="n"/>
      <c r="G1063" s="21" t="n"/>
    </row>
    <row r="1064" ht="32" customHeight="1">
      <c r="A1064" s="22" t="inlineStr">
        <is>
          <t>Нормативные и технические нормативные правовые акты, регулирующие вопросы криптографической защиты информации.</t>
        </is>
      </c>
      <c r="B1064" s="2" t="n"/>
      <c r="C1064" s="2" t="n"/>
      <c r="D1064" s="2" t="n"/>
      <c r="E1064" s="2" t="n"/>
      <c r="F1064" s="2" t="n"/>
      <c r="G1064" s="2" t="n"/>
    </row>
    <row r="1065" ht="64" customHeight="1">
      <c r="A1065" s="22"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 Нормативные правовые акты и технические нормативные правовые акты, регулирующие вопросы криптографической защиты информации.</t>
        </is>
      </c>
      <c r="B1065" s="2" t="n"/>
      <c r="C1065" s="2" t="n"/>
      <c r="D1065" s="2" t="n"/>
      <c r="E1065" s="2" t="n"/>
      <c r="F1065" s="2" t="n"/>
      <c r="G1065" s="2" t="n"/>
    </row>
    <row r="1066" ht="32" customHeight="1">
      <c r="A1066" s="22" t="inlineStr">
        <is>
          <t>Порядок криптографической защиты информации в информационных системах.</t>
        </is>
      </c>
      <c r="B1066" s="2" t="n"/>
      <c r="C1066" s="2" t="n"/>
      <c r="D1066" s="2" t="n"/>
      <c r="E1066" s="2" t="n"/>
      <c r="F1066" s="2" t="n"/>
      <c r="G1066" s="2" t="n"/>
    </row>
    <row r="1067" ht="64" customHeight="1">
      <c r="A1067" s="22"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t>
        </is>
      </c>
      <c r="B1067" s="2" t="n"/>
      <c r="C1067" s="2" t="n"/>
      <c r="D1067" s="2" t="n"/>
      <c r="E1067" s="2" t="n"/>
      <c r="F1067" s="2" t="n"/>
      <c r="G1067" s="2" t="n"/>
    </row>
    <row r="1068" ht="32" customHeight="1">
      <c r="A1068" s="22" t="inlineStr">
        <is>
          <t>Вопросы круглого стола:</t>
        </is>
      </c>
      <c r="B1068" s="2" t="n"/>
      <c r="C1068" s="2" t="n"/>
      <c r="D1068" s="2" t="n"/>
      <c r="E1068" s="2" t="n"/>
      <c r="F1068" s="2" t="n"/>
      <c r="G1068" s="2" t="n"/>
    </row>
    <row r="1069" ht="32" customHeight="1">
      <c r="A1069" s="22" t="inlineStr">
        <is>
          <t>Организационные меры по криптографической защите информации.</t>
        </is>
      </c>
      <c r="B1069" s="2" t="n"/>
      <c r="C1069" s="2" t="n"/>
      <c r="D1069" s="2" t="n"/>
      <c r="E1069" s="2" t="n"/>
      <c r="F1069" s="2" t="n"/>
      <c r="G1069" s="2" t="n"/>
    </row>
    <row r="1070" ht="32" customHeight="1">
      <c r="A1070" s="22" t="inlineStr">
        <is>
          <t>Криптографические преобразования данных.</t>
        </is>
      </c>
      <c r="B1070" s="2" t="n"/>
      <c r="C1070" s="2" t="n"/>
      <c r="D1070" s="2" t="n"/>
      <c r="E1070" s="2" t="n"/>
      <c r="F1070" s="2" t="n"/>
      <c r="G1070" s="2" t="n"/>
    </row>
    <row r="1071" ht="80" customHeight="1">
      <c r="A1071" s="22"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СТБ 34.101.31 «Информационные технологии и безопасность. Алгоритмы шифрования и контроля целостности» (структурная схема, основные компоненты, режимы работы).</t>
        </is>
      </c>
      <c r="B1071" s="2" t="n"/>
      <c r="C1071" s="2" t="n"/>
      <c r="D1071" s="2" t="n"/>
      <c r="E1071" s="2" t="n"/>
      <c r="F1071" s="2" t="n"/>
      <c r="G1071" s="2" t="n"/>
    </row>
    <row r="1072" ht="64" customHeight="1">
      <c r="A1072" s="22" t="inlineStr">
        <is>
          <t>Асимметричная схема криптографической защиты информации. Односторонние функции. Формирование общих ключей с помощью ассиметричной криптографии. Схемы электронной цифровой подписи на примере процедуры, установленной в СТБ 34.101.45 «Информационные технологии и безопасность. Алгоритмы электронной цифровой подписи и транспорта ключа на основе эллиптических кривых».</t>
        </is>
      </c>
      <c r="B1072" s="2" t="n"/>
      <c r="C1072" s="2" t="n"/>
      <c r="D1072" s="2" t="n"/>
      <c r="E1072" s="2" t="n"/>
      <c r="F1072" s="2" t="n"/>
      <c r="G1072" s="2" t="n"/>
    </row>
    <row r="1073" ht="32" customHeight="1">
      <c r="A1073" s="22" t="inlineStr">
        <is>
          <t>Инфраструктура открытых ключей.</t>
        </is>
      </c>
      <c r="B1073" s="2" t="n"/>
      <c r="C1073" s="2" t="n"/>
      <c r="D1073" s="2" t="n"/>
      <c r="E1073" s="2" t="n"/>
      <c r="F1073" s="2" t="n"/>
      <c r="G1073" s="2" t="n"/>
    </row>
    <row r="1074" ht="80" customHeight="1">
      <c r="A1074" s="22" t="inlineStr">
        <is>
          <t>Атака «человек по 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074" s="2" t="n"/>
      <c r="C1074" s="2" t="n"/>
      <c r="D1074" s="2" t="n"/>
      <c r="E1074" s="2" t="n"/>
      <c r="F1074" s="2" t="n"/>
      <c r="G1074" s="2" t="n"/>
    </row>
    <row r="1075" ht="51" customHeight="1">
      <c r="A1075" s="3" t="inlineStr">
        <is>
          <t>АКБ — Администратор кибербезопасности
Раздел: Особенности криптографической защиты информации · УТП: таблица 2, строка 17</t>
        </is>
      </c>
      <c r="B1075" s="4" t="n"/>
      <c r="C1075" s="4" t="n"/>
      <c r="D1075" s="4" t="n"/>
      <c r="E1075" s="4" t="n"/>
      <c r="F1075" s="4" t="n"/>
      <c r="G1075" s="4" t="n"/>
    </row>
    <row r="1076" ht="30" customHeight="1">
      <c r="A1076" s="3" t="inlineStr">
        <is>
          <t>В программе: Тема 1. Криптографическая защита информации (6 часов лекции, 2 часа круглый стол).</t>
        </is>
      </c>
      <c r="B1076" s="4" t="n"/>
      <c r="C1076" s="4" t="n"/>
      <c r="D1076" s="4" t="n"/>
      <c r="E1076" s="4" t="n"/>
      <c r="F1076" s="4" t="n"/>
      <c r="G1076" s="4" t="n"/>
    </row>
    <row r="1077" ht="25" customHeight="1">
      <c r="A1077" s="23" t="inlineStr">
        <is>
          <t>Исходная программа АКБ ↗</t>
        </is>
      </c>
      <c r="D1077" s="23" t="inlineStr">
        <is>
          <t>Исходный УТП АКБ ↗</t>
        </is>
      </c>
    </row>
    <row r="1078" ht="27" customHeight="1">
      <c r="A1078" s="20" t="inlineStr">
        <is>
          <t>Вариант для: АУРИК</t>
        </is>
      </c>
      <c r="B1078" s="21" t="n"/>
      <c r="C1078" s="21" t="n"/>
      <c r="D1078" s="21" t="n"/>
      <c r="E1078" s="21" t="n"/>
      <c r="F1078" s="21" t="n"/>
      <c r="G1078" s="21" t="n"/>
    </row>
    <row r="1079" ht="64" customHeight="1">
      <c r="A1079" s="22" t="inlineStr">
        <is>
          <t>Основные определения. Задачи, решаемые криптографическими методами. Комплекс мероприятий по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средств криптографической защиты информации. Организационные меры по криптографической защите информации.</t>
        </is>
      </c>
      <c r="B1079" s="2" t="n"/>
      <c r="C1079" s="2" t="n"/>
      <c r="D1079" s="2" t="n"/>
      <c r="E1079" s="2" t="n"/>
      <c r="F1079" s="2" t="n"/>
      <c r="G1079" s="2" t="n"/>
    </row>
    <row r="1080" ht="51" customHeight="1">
      <c r="A1080"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11</t>
        </is>
      </c>
      <c r="B1080" s="4" t="n"/>
      <c r="C1080" s="4" t="n"/>
      <c r="D1080" s="4" t="n"/>
      <c r="E1080" s="4" t="n"/>
      <c r="F1080" s="4" t="n"/>
      <c r="G1080" s="4" t="n"/>
    </row>
    <row r="1081" ht="30" customHeight="1">
      <c r="A1081" s="3" t="inlineStr">
        <is>
          <t>В программе: Тема 3. Криптографическая защита информации (4 часа лекции).</t>
        </is>
      </c>
      <c r="B1081" s="4" t="n"/>
      <c r="C1081" s="4" t="n"/>
      <c r="D1081" s="4" t="n"/>
      <c r="E1081" s="4" t="n"/>
      <c r="F1081" s="4" t="n"/>
      <c r="G1081" s="4" t="n"/>
    </row>
    <row r="1082" ht="25" customHeight="1">
      <c r="A1082" s="23" t="inlineStr">
        <is>
          <t>Исходная программа АУРИК ↗</t>
        </is>
      </c>
      <c r="D1082" s="23" t="inlineStr">
        <is>
          <t>Исходный УТП АУРИК ↗</t>
        </is>
      </c>
    </row>
    <row r="1083" ht="27" customHeight="1">
      <c r="A1083" s="20" t="inlineStr">
        <is>
          <t>Вариант для: БКТ</t>
        </is>
      </c>
      <c r="B1083" s="21" t="n"/>
      <c r="C1083" s="21" t="n"/>
      <c r="D1083" s="21" t="n"/>
      <c r="E1083" s="21" t="n"/>
      <c r="F1083" s="21" t="n"/>
      <c r="G1083" s="21" t="n"/>
    </row>
    <row r="1084" ht="32" customHeight="1">
      <c r="A1084" s="22" t="inlineStr">
        <is>
          <t>Нормативные правовые акты, регулирующие вопросы криптографической защиты информации.</t>
        </is>
      </c>
      <c r="B1084" s="2" t="n"/>
      <c r="C1084" s="2" t="n"/>
      <c r="D1084" s="2" t="n"/>
      <c r="E1084" s="2" t="n"/>
      <c r="F1084" s="2" t="n"/>
      <c r="G1084" s="2" t="n"/>
    </row>
    <row r="1085" ht="48" customHeight="1">
      <c r="A1085" s="22"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t>
        </is>
      </c>
      <c r="B1085" s="2" t="n"/>
      <c r="C1085" s="2" t="n"/>
      <c r="D1085" s="2" t="n"/>
      <c r="E1085" s="2" t="n"/>
      <c r="F1085" s="2" t="n"/>
      <c r="G1085" s="2" t="n"/>
    </row>
    <row r="1086" ht="32" customHeight="1">
      <c r="A1086" s="22" t="inlineStr">
        <is>
          <t>Порядок криптографической защиты информации в информационных системах.</t>
        </is>
      </c>
      <c r="B1086" s="2" t="n"/>
      <c r="C1086" s="2" t="n"/>
      <c r="D1086" s="2" t="n"/>
      <c r="E1086" s="2" t="n"/>
      <c r="F1086" s="2" t="n"/>
      <c r="G1086" s="2" t="n"/>
    </row>
    <row r="1087" ht="64" customHeight="1">
      <c r="A1087" s="22"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t>
        </is>
      </c>
      <c r="B1087" s="2" t="n"/>
      <c r="C1087" s="2" t="n"/>
      <c r="D1087" s="2" t="n"/>
      <c r="E1087" s="2" t="n"/>
      <c r="F1087" s="2" t="n"/>
      <c r="G1087" s="2" t="n"/>
    </row>
    <row r="1088" ht="32" customHeight="1">
      <c r="A1088" s="22" t="inlineStr">
        <is>
          <t>Вопросы круглого стола:</t>
        </is>
      </c>
      <c r="B1088" s="2" t="n"/>
      <c r="C1088" s="2" t="n"/>
      <c r="D1088" s="2" t="n"/>
      <c r="E1088" s="2" t="n"/>
      <c r="F1088" s="2" t="n"/>
      <c r="G1088" s="2" t="n"/>
    </row>
    <row r="1089" ht="32" customHeight="1">
      <c r="A1089" s="22" t="inlineStr">
        <is>
          <t>Организационные меры по криптографической защите информации.</t>
        </is>
      </c>
      <c r="B1089" s="2" t="n"/>
      <c r="C1089" s="2" t="n"/>
      <c r="D1089" s="2" t="n"/>
      <c r="E1089" s="2" t="n"/>
      <c r="F1089" s="2" t="n"/>
      <c r="G1089" s="2" t="n"/>
    </row>
    <row r="1090" ht="32" customHeight="1">
      <c r="A1090" s="22" t="inlineStr">
        <is>
          <t>Криптографические преобразования данных.</t>
        </is>
      </c>
      <c r="B1090" s="2" t="n"/>
      <c r="C1090" s="2" t="n"/>
      <c r="D1090" s="2" t="n"/>
      <c r="E1090" s="2" t="n"/>
      <c r="F1090" s="2" t="n"/>
      <c r="G1090" s="2" t="n"/>
    </row>
    <row r="1091" ht="64" customHeight="1">
      <c r="A1091" s="22"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государственном стандарте.</t>
        </is>
      </c>
      <c r="B1091" s="2" t="n"/>
      <c r="C1091" s="2" t="n"/>
      <c r="D1091" s="2" t="n"/>
      <c r="E1091" s="2" t="n"/>
      <c r="F1091" s="2" t="n"/>
      <c r="G1091" s="2" t="n"/>
    </row>
    <row r="1092" ht="48" customHeight="1">
      <c r="A1092" s="22" t="inlineStr">
        <is>
          <t>Асимметричная схема криптографической защиты информации. Односторонние функции. Формирование общих ключей с помощью асимметричной криптографии. Схемы электронной цифровой подписи на примере процедуры, установленной в государственном стандарте.</t>
        </is>
      </c>
      <c r="B1092" s="2" t="n"/>
      <c r="C1092" s="2" t="n"/>
      <c r="D1092" s="2" t="n"/>
      <c r="E1092" s="2" t="n"/>
      <c r="F1092" s="2" t="n"/>
      <c r="G1092" s="2" t="n"/>
    </row>
    <row r="1093" ht="32" customHeight="1">
      <c r="A1093" s="22" t="inlineStr">
        <is>
          <t>Инфраструктура открытых ключей.</t>
        </is>
      </c>
      <c r="B1093" s="2" t="n"/>
      <c r="C1093" s="2" t="n"/>
      <c r="D1093" s="2" t="n"/>
      <c r="E1093" s="2" t="n"/>
      <c r="F1093" s="2" t="n"/>
      <c r="G1093" s="2" t="n"/>
    </row>
    <row r="1094" ht="80" customHeight="1">
      <c r="A1094" s="22" t="inlineStr">
        <is>
          <t>Атака «человек посередине».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094" s="2" t="n"/>
      <c r="C1094" s="2" t="n"/>
      <c r="D1094" s="2" t="n"/>
      <c r="E1094" s="2" t="n"/>
      <c r="F1094" s="2" t="n"/>
      <c r="G1094" s="2" t="n"/>
    </row>
    <row r="1095" ht="51" customHeight="1">
      <c r="A1095" s="3" t="inlineStr">
        <is>
          <t>БКТ — Безопасность компьютерных технологий
Раздел: Особенности криптографической защиты информации · УТП: таблица 2, строка 25</t>
        </is>
      </c>
      <c r="B1095" s="4" t="n"/>
      <c r="C1095" s="4" t="n"/>
      <c r="D1095" s="4" t="n"/>
      <c r="E1095" s="4" t="n"/>
      <c r="F1095" s="4" t="n"/>
      <c r="G1095" s="4" t="n"/>
    </row>
    <row r="1096" ht="30" customHeight="1">
      <c r="A1096" s="3" t="inlineStr">
        <is>
          <t>В программе: Тема 1. Криптографическая защита информации (6 часов лекции, 2 часа круглый стол).</t>
        </is>
      </c>
      <c r="B1096" s="4" t="n"/>
      <c r="C1096" s="4" t="n"/>
      <c r="D1096" s="4" t="n"/>
      <c r="E1096" s="4" t="n"/>
      <c r="F1096" s="4" t="n"/>
      <c r="G1096" s="4" t="n"/>
    </row>
    <row r="1097" ht="25" customHeight="1">
      <c r="A1097" s="23" t="inlineStr">
        <is>
          <t>Исходная программа БКТ ↗</t>
        </is>
      </c>
      <c r="D1097" s="23" t="inlineStr">
        <is>
          <t>Исходный УТП БКТ ↗</t>
        </is>
      </c>
    </row>
    <row r="1098" ht="27" customHeight="1">
      <c r="A1098" s="20" t="inlineStr">
        <is>
          <t>Вариант для: ЗИКС</t>
        </is>
      </c>
      <c r="B1098" s="21" t="n"/>
      <c r="C1098" s="21" t="n"/>
      <c r="D1098" s="21" t="n"/>
      <c r="E1098" s="21" t="n"/>
      <c r="F1098" s="21" t="n"/>
      <c r="G1098" s="21" t="n"/>
    </row>
    <row r="1099" ht="32" customHeight="1">
      <c r="A1099" s="22" t="inlineStr">
        <is>
          <t>Нормативные и технические нормативные правовые акты, регулирующие вопросы криптографической защиты информации.</t>
        </is>
      </c>
      <c r="B1099" s="2" t="n"/>
      <c r="C1099" s="2" t="n"/>
      <c r="D1099" s="2" t="n"/>
      <c r="E1099" s="2" t="n"/>
      <c r="F1099" s="2" t="n"/>
      <c r="G1099" s="2" t="n"/>
    </row>
    <row r="1100" ht="64" customHeight="1">
      <c r="A1100" s="22" t="inlineStr">
        <is>
          <t>Основные определения. Задачи, решаемые криптографическими методами: обеспечение конфиденциальности, контроль целостности и подлинности, аутентификация, невозможность отказа от авторства. Нормативные правовые акты и технические нормативные правовые акты, регулирующие вопросы криптографической защиты информации.</t>
        </is>
      </c>
      <c r="B1100" s="2" t="n"/>
      <c r="C1100" s="2" t="n"/>
      <c r="D1100" s="2" t="n"/>
      <c r="E1100" s="2" t="n"/>
      <c r="F1100" s="2" t="n"/>
      <c r="G1100" s="2" t="n"/>
    </row>
    <row r="1101" ht="32" customHeight="1">
      <c r="A1101" s="22" t="inlineStr">
        <is>
          <t>Порядок криптографической защиты информации в информационных системах.</t>
        </is>
      </c>
      <c r="B1101" s="2" t="n"/>
      <c r="C1101" s="2" t="n"/>
      <c r="D1101" s="2" t="n"/>
      <c r="E1101" s="2" t="n"/>
      <c r="F1101" s="2" t="n"/>
      <c r="G1101" s="2" t="n"/>
    </row>
    <row r="1102" ht="64" customHeight="1">
      <c r="A1102" s="22" t="inlineStr">
        <is>
          <t>Комплекс мероприятий по технической и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системы защиты информации, в том числе средств криптографической защиты информации. Организационные меры по криптографической защите информации.</t>
        </is>
      </c>
      <c r="B1102" s="2" t="n"/>
      <c r="C1102" s="2" t="n"/>
      <c r="D1102" s="2" t="n"/>
      <c r="E1102" s="2" t="n"/>
      <c r="F1102" s="2" t="n"/>
      <c r="G1102" s="2" t="n"/>
    </row>
    <row r="1103" ht="32" customHeight="1">
      <c r="A1103" s="22" t="inlineStr">
        <is>
          <t>Криптографические преобразования данных.</t>
        </is>
      </c>
      <c r="B1103" s="2" t="n"/>
      <c r="C1103" s="2" t="n"/>
      <c r="D1103" s="2" t="n"/>
      <c r="E1103" s="2" t="n"/>
      <c r="F1103" s="2" t="n"/>
      <c r="G1103" s="2" t="n"/>
    </row>
    <row r="1104" ht="80" customHeight="1">
      <c r="A1104" s="22" t="inlineStr">
        <is>
          <t>Симметричная схема криптографической защиты информации. Шифры простой замены и перестановки (принципы, надежность, уязвимости). Усиление и модернизация шифров простой замены и перестановки. Абсолютно стойкие шифры. Принципы построения блочных шифров на примере алгоритма, установленного в ГОСТ 28147-89 «Система обработки информации. Защита криптографическая. Алгоритм криптографического преобразования» (структурная схема, основные компоненты, режимы работы).</t>
        </is>
      </c>
      <c r="B1104" s="2" t="n"/>
      <c r="C1104" s="2" t="n"/>
      <c r="D1104" s="2" t="n"/>
      <c r="E1104" s="2" t="n"/>
      <c r="F1104" s="2" t="n"/>
      <c r="G1104" s="2" t="n"/>
    </row>
    <row r="1105" ht="64" customHeight="1">
      <c r="A1105" s="22" t="inlineStr">
        <is>
          <t>Асимметричная схема криптографической защиты информации. Односторонние функции. Формирование общих ключей с помощью ассиметричной криптографии. Схемы электронной цифровой подписи на примере процедуры, установленной в СТБ 1176.2-99 «Информационная технология. Защита информации. Процедуры выработки и проверки электронной цифровой подписи».</t>
        </is>
      </c>
      <c r="B1105" s="2" t="n"/>
      <c r="C1105" s="2" t="n"/>
      <c r="D1105" s="2" t="n"/>
      <c r="E1105" s="2" t="n"/>
      <c r="F1105" s="2" t="n"/>
      <c r="G1105" s="2" t="n"/>
    </row>
    <row r="1106" ht="32" customHeight="1">
      <c r="A1106" s="22" t="inlineStr">
        <is>
          <t>Инфраструктура открытых ключей.</t>
        </is>
      </c>
      <c r="B1106" s="2" t="n"/>
      <c r="C1106" s="2" t="n"/>
      <c r="D1106" s="2" t="n"/>
      <c r="E1106" s="2" t="n"/>
      <c r="F1106" s="2" t="n"/>
      <c r="G1106" s="2" t="n"/>
    </row>
    <row r="1107" ht="80" customHeight="1">
      <c r="A1107" s="22" t="inlineStr">
        <is>
          <t>Атака «человек посередине». Модели доверия к открытым ключам (строгая иерархия удостоверяющих центров; нестрогая иерархия удостоверяющих центров; иерархия на базе политик; модель распределенного доверия; четырехсторонняя модель доверия; Web-модель доверия; модель доверия, сконцентрированного вокруг пользователя). Основные компоненты инфраструктуры открытых ключей и их функции (пользователь, регистрационный центр, удостоверяющий центр, архив сертификатов, реестр сертификатов, политика применения сертификатов). Формат сертификата открытого ключа.</t>
        </is>
      </c>
      <c r="B1107" s="2" t="n"/>
      <c r="C1107" s="2" t="n"/>
      <c r="D1107" s="2" t="n"/>
      <c r="E1107" s="2" t="n"/>
      <c r="F1107" s="2" t="n"/>
      <c r="G1107" s="2" t="n"/>
    </row>
    <row r="1108" ht="51" customHeight="1">
      <c r="A1108" s="3" t="inlineStr">
        <is>
          <t>ЗИКС — Защита информации в корпоративных системах
Раздел: Особенности криптографической защиты информации, обрабатываемой в информационных системах. · УТП: таблица 2, строка 20</t>
        </is>
      </c>
      <c r="B1108" s="4" t="n"/>
      <c r="C1108" s="4" t="n"/>
      <c r="D1108" s="4" t="n"/>
      <c r="E1108" s="4" t="n"/>
      <c r="F1108" s="4" t="n"/>
      <c r="G1108" s="4" t="n"/>
    </row>
    <row r="1109" ht="30" customHeight="1">
      <c r="A1109" s="3" t="inlineStr">
        <is>
          <t>В программе: Тема 1. Криптографическая защита информации (6 часов лекции, 2 часа круглый стол).</t>
        </is>
      </c>
      <c r="B1109" s="4" t="n"/>
      <c r="C1109" s="4" t="n"/>
      <c r="D1109" s="4" t="n"/>
      <c r="E1109" s="4" t="n"/>
      <c r="F1109" s="4" t="n"/>
      <c r="G1109" s="4" t="n"/>
    </row>
    <row r="1110" ht="25" customHeight="1">
      <c r="A1110" s="23" t="inlineStr">
        <is>
          <t>Исходная программа ЗИКС ↗</t>
        </is>
      </c>
      <c r="D1110" s="23" t="inlineStr">
        <is>
          <t>Исходный УТП ЗИКС ↗</t>
        </is>
      </c>
    </row>
    <row r="1111" ht="27" customHeight="1">
      <c r="A1111" s="20" t="inlineStr">
        <is>
          <t>Вариант для: ТЗПД</t>
        </is>
      </c>
      <c r="B1111" s="21" t="n"/>
      <c r="C1111" s="21" t="n"/>
      <c r="D1111" s="21" t="n"/>
      <c r="E1111" s="21" t="n"/>
      <c r="F1111" s="21" t="n"/>
      <c r="G1111" s="21" t="n"/>
    </row>
    <row r="1112" ht="64" customHeight="1">
      <c r="A1112" s="22" t="inlineStr">
        <is>
          <t>Основные определения. Задачи, решаемые криптографическими методами. Комплекс мероприятий по криптографической защите информации. Требования к криптографической защите информации на этапах проектирования и создания системы защиты информации. Особенности эксплуатации информационной системы с применением средств криптографической защиты информации. Организационные меры по криптографической защите информации.</t>
        </is>
      </c>
      <c r="B1112" s="2" t="n"/>
      <c r="C1112" s="2" t="n"/>
      <c r="D1112" s="2" t="n"/>
      <c r="E1112" s="2" t="n"/>
      <c r="F1112" s="2" t="n"/>
      <c r="G1112" s="2" t="n"/>
    </row>
    <row r="1113" ht="32" customHeight="1">
      <c r="A1113" s="22" t="inlineStr">
        <is>
          <t>Вопросы тематической дискуссии:</t>
        </is>
      </c>
      <c r="B1113" s="2" t="n"/>
      <c r="C1113" s="2" t="n"/>
      <c r="D1113" s="2" t="n"/>
      <c r="E1113" s="2" t="n"/>
      <c r="F1113" s="2" t="n"/>
      <c r="G1113" s="2" t="n"/>
    </row>
    <row r="1114" ht="32" customHeight="1">
      <c r="A1114" s="22" t="inlineStr">
        <is>
          <t>Роль криптографической защиты информации в обеспечении конфиденциальности, целостности и подлинности данных.</t>
        </is>
      </c>
      <c r="B1114" s="2" t="n"/>
      <c r="C1114" s="2" t="n"/>
      <c r="D1114" s="2" t="n"/>
      <c r="E1114" s="2" t="n"/>
      <c r="F1114" s="2" t="n"/>
      <c r="G1114" s="2" t="n"/>
    </row>
    <row r="1115" ht="32" customHeight="1">
      <c r="A1115" s="22" t="inlineStr">
        <is>
          <t>Практические аспекты выбора и применения средств криптографической защиты информации в информационных системах.</t>
        </is>
      </c>
      <c r="B1115" s="2" t="n"/>
      <c r="C1115" s="2" t="n"/>
      <c r="D1115" s="2" t="n"/>
      <c r="E1115" s="2" t="n"/>
      <c r="F1115" s="2" t="n"/>
      <c r="G1115" s="2" t="n"/>
    </row>
    <row r="1116" ht="32" customHeight="1">
      <c r="A1116" s="22" t="inlineStr">
        <is>
          <t>Риски нарушения требований к криптографической защите информации на этапах проектирования и эксплуатации системы защиты информации.</t>
        </is>
      </c>
      <c r="B1116" s="2" t="n"/>
      <c r="C1116" s="2" t="n"/>
      <c r="D1116" s="2" t="n"/>
      <c r="E1116" s="2" t="n"/>
      <c r="F1116" s="2" t="n"/>
      <c r="G1116" s="2" t="n"/>
    </row>
    <row r="1117" ht="32" customHeight="1">
      <c r="A1117" s="22" t="inlineStr">
        <is>
          <t>Особенности организации управления ключевой информацией и контроля доступа к средствам криптографической защиты информации.</t>
        </is>
      </c>
      <c r="B1117" s="2" t="n"/>
      <c r="C1117" s="2" t="n"/>
      <c r="D1117" s="2" t="n"/>
      <c r="E1117" s="2" t="n"/>
      <c r="F1117" s="2" t="n"/>
      <c r="G1117" s="2" t="n"/>
    </row>
    <row r="1118" ht="32" customHeight="1">
      <c r="A1118" s="22" t="inlineStr">
        <is>
          <t>Ограничения применения криптографических методов как самостоятельной меры обеспечения защиты информации.</t>
        </is>
      </c>
      <c r="B1118" s="2" t="n"/>
      <c r="C1118" s="2" t="n"/>
      <c r="D1118" s="2" t="n"/>
      <c r="E1118" s="2" t="n"/>
      <c r="F1118" s="2" t="n"/>
      <c r="G1118" s="2" t="n"/>
    </row>
    <row r="1119" ht="51" customHeight="1">
      <c r="A1119" s="3" t="inlineStr">
        <is>
          <t>ТЗПД — Техническая защита персональных данных
Раздел: Практические аспекты обеспечения кибербезопасности · УТП: таблица 2, строка 16</t>
        </is>
      </c>
      <c r="B1119" s="4" t="n"/>
      <c r="C1119" s="4" t="n"/>
      <c r="D1119" s="4" t="n"/>
      <c r="E1119" s="4" t="n"/>
      <c r="F1119" s="4" t="n"/>
      <c r="G1119" s="4" t="n"/>
    </row>
    <row r="1120" ht="30" customHeight="1">
      <c r="A1120" s="3" t="inlineStr">
        <is>
          <t>В программе: Тема 3. Криптографическая защита информации (3 часа лекции, 1 час тематическая дискуссия).</t>
        </is>
      </c>
      <c r="B1120" s="4" t="n"/>
      <c r="C1120" s="4" t="n"/>
      <c r="D1120" s="4" t="n"/>
      <c r="E1120" s="4" t="n"/>
      <c r="F1120" s="4" t="n"/>
      <c r="G1120" s="4" t="n"/>
    </row>
    <row r="1121" ht="25" customHeight="1">
      <c r="A1121" s="23" t="inlineStr">
        <is>
          <t>Исходная программа ТЗПД ↗</t>
        </is>
      </c>
      <c r="D1121" s="23" t="inlineStr">
        <is>
          <t>Исходный УТП ТЗПД ↗</t>
        </is>
      </c>
    </row>
    <row r="1122" ht="27" customHeight="1">
      <c r="A1122" s="24">
        <f>HYPERLINK("#'Выбор тем'!E"&amp;MATCH("T-A1853F0E",'Выбор тем'!$A:$A,0),"← Вернуться к теме")</f>
        <v/>
      </c>
    </row>
    <row r="1124" ht="38" customHeight="1">
      <c r="A1124" s="18" t="inlineStr">
        <is>
          <t>Криптографическая защита информации. Организация защиты информации в системах электронного документооборота</t>
        </is>
      </c>
      <c r="B1124" s="19" t="n"/>
      <c r="C1124" s="19" t="n"/>
      <c r="D1124" s="19" t="n"/>
      <c r="E1124" s="19" t="n"/>
      <c r="F1124" s="19" t="n"/>
      <c r="G1124" s="19" t="n"/>
    </row>
    <row r="1125" ht="26" customHeight="1">
      <c r="A1125" s="3" t="inlineStr">
        <is>
          <t>T-ADE2EDF8 · Программы: ЗИОЗ</t>
        </is>
      </c>
      <c r="B1125" s="4" t="n"/>
      <c r="C1125" s="4" t="n"/>
      <c r="D1125" s="4" t="n"/>
      <c r="E1125" s="4" t="n"/>
      <c r="F1125" s="4" t="n"/>
      <c r="G1125" s="4" t="n"/>
    </row>
    <row r="1126" ht="27" customHeight="1">
      <c r="A1126" s="20" t="inlineStr">
        <is>
          <t>Вариант для: ЗИОЗ</t>
        </is>
      </c>
      <c r="B1126" s="21" t="n"/>
      <c r="C1126" s="21" t="n"/>
      <c r="D1126" s="21" t="n"/>
      <c r="E1126" s="21" t="n"/>
      <c r="F1126" s="21" t="n"/>
      <c r="G1126" s="21" t="n"/>
    </row>
    <row r="1127" ht="64" customHeight="1">
      <c r="A1127" s="22" t="inlineStr">
        <is>
          <t>Законодательство в сфере электронного документа и электронной цифровой подписи. Основные принципы электронной цифровой подписи. Требования к электронному документу. Структура электронного документа. Государственная система управления открытыми ключами. Применение электронной цифровой подписи для обеспечения возможности контроля целостности и подлинности электронных документов.</t>
        </is>
      </c>
      <c r="B1127" s="2" t="n"/>
      <c r="C1127" s="2" t="n"/>
      <c r="D1127" s="2" t="n"/>
      <c r="E1127" s="2" t="n"/>
      <c r="F1127" s="2" t="n"/>
      <c r="G1127" s="2" t="n"/>
    </row>
    <row r="1128" ht="64" customHeight="1">
      <c r="A1128" s="22" t="inlineStr">
        <is>
          <t>Назначение систем электронного документооборота (далее – СЭД) в организациях здравоохранения. Место СЭД в информационных системах. Электронный документ как основной объект СЭД. Задачи кибербезопасности для СЭД в организациях здравоохранения. Разграничение доступа к электронным документам в СЭД.</t>
        </is>
      </c>
      <c r="B1128" s="2" t="n"/>
      <c r="C1128" s="2" t="n"/>
      <c r="D1128" s="2" t="n"/>
      <c r="E1128" s="2" t="n"/>
      <c r="F1128" s="2" t="n"/>
      <c r="G1128" s="2" t="n"/>
    </row>
    <row r="1129" ht="51" customHeight="1">
      <c r="A1129" s="3" t="inlineStr">
        <is>
          <t>ЗИОЗ — Защита информационной инфраструктуры организаций здравоохранения
Раздел: Вопросы криптографической защиты информации · УТП: таблица 2, строка 18</t>
        </is>
      </c>
      <c r="B1129" s="4" t="n"/>
      <c r="C1129" s="4" t="n"/>
      <c r="D1129" s="4" t="n"/>
      <c r="E1129" s="4" t="n"/>
      <c r="F1129" s="4" t="n"/>
      <c r="G1129" s="4" t="n"/>
    </row>
    <row r="1130" ht="30" customHeight="1">
      <c r="A1130" s="3" t="inlineStr">
        <is>
          <t>В программе: Тема 1. Криптографическая защита информации. Организация защиты информации в системах электронного документооборота (4 часа лекции).</t>
        </is>
      </c>
      <c r="B1130" s="4" t="n"/>
      <c r="C1130" s="4" t="n"/>
      <c r="D1130" s="4" t="n"/>
      <c r="E1130" s="4" t="n"/>
      <c r="F1130" s="4" t="n"/>
      <c r="G1130" s="4" t="n"/>
    </row>
    <row r="1131" ht="25" customHeight="1">
      <c r="A1131" s="23" t="inlineStr">
        <is>
          <t>Исходная программа ЗИОЗ ↗</t>
        </is>
      </c>
      <c r="D1131" s="23" t="inlineStr">
        <is>
          <t>Исходный УТП ЗИОЗ ↗</t>
        </is>
      </c>
    </row>
    <row r="1132" ht="27" customHeight="1">
      <c r="A1132" s="24">
        <f>HYPERLINK("#'Выбор тем'!E"&amp;MATCH("T-ADE2EDF8",'Выбор тем'!$A:$A,0),"← Вернуться к теме")</f>
        <v/>
      </c>
    </row>
    <row r="1134" ht="38" customHeight="1">
      <c r="A1134" s="18" t="inlineStr">
        <is>
          <t>Криптографические методы защиты информации</t>
        </is>
      </c>
      <c r="B1134" s="19" t="n"/>
      <c r="C1134" s="19" t="n"/>
      <c r="D1134" s="19" t="n"/>
      <c r="E1134" s="19" t="n"/>
      <c r="F1134" s="19" t="n"/>
      <c r="G1134" s="19" t="n"/>
    </row>
    <row r="1135" ht="26" customHeight="1">
      <c r="A1135" s="3" t="inlineStr">
        <is>
          <t>T-A37A8875 · Программы: ККС, ТК</t>
        </is>
      </c>
      <c r="B1135" s="4" t="n"/>
      <c r="C1135" s="4" t="n"/>
      <c r="D1135" s="4" t="n"/>
      <c r="E1135" s="4" t="n"/>
      <c r="F1135" s="4" t="n"/>
      <c r="G1135" s="4" t="n"/>
    </row>
    <row r="1136" ht="27" customHeight="1">
      <c r="A1136" s="20" t="inlineStr">
        <is>
          <t>Вариант для: ККС</t>
        </is>
      </c>
      <c r="B1136" s="21" t="n"/>
      <c r="C1136" s="21" t="n"/>
      <c r="D1136" s="21" t="n"/>
      <c r="E1136" s="21" t="n"/>
      <c r="F1136" s="21" t="n"/>
      <c r="G1136" s="21" t="n"/>
    </row>
    <row r="1137" ht="32" customHeight="1">
      <c r="A1137" s="22" t="inlineStr">
        <is>
          <t>Вопросы законности применения средств криптографической защиты информации.</t>
        </is>
      </c>
      <c r="B1137" s="2" t="n"/>
      <c r="C1137" s="2" t="n"/>
      <c r="D1137" s="2" t="n"/>
      <c r="E1137" s="2" t="n"/>
      <c r="F1137" s="2" t="n"/>
      <c r="G1137" s="2" t="n"/>
    </row>
    <row r="1138" ht="32" customHeight="1">
      <c r="A1138" s="22" t="inlineStr">
        <is>
          <t>Нормативная правовая база применения средств криптографической защиты информации.</t>
        </is>
      </c>
      <c r="B1138" s="2" t="n"/>
      <c r="C1138" s="2" t="n"/>
      <c r="D1138" s="2" t="n"/>
      <c r="E1138" s="2" t="n"/>
      <c r="F1138" s="2" t="n"/>
      <c r="G1138" s="2" t="n"/>
    </row>
    <row r="1139" ht="32" customHeight="1">
      <c r="A1139" s="22" t="inlineStr">
        <is>
          <t>Место и роль криптографии в обеспечении безопасности информационных технологий.</t>
        </is>
      </c>
      <c r="B1139" s="2" t="n"/>
      <c r="C1139" s="2" t="n"/>
      <c r="D1139" s="2" t="n"/>
      <c r="E1139" s="2" t="n"/>
      <c r="F1139" s="2" t="n"/>
      <c r="G1139" s="2" t="n"/>
    </row>
    <row r="1140" ht="64" customHeight="1">
      <c r="A1140" s="22" t="inlineStr">
        <is>
          <t>Место и роль криптографических методов и средств защиты в автоматизированных системах управления и корпоративных системах. Задачи, решаемые средствами криптографической защиты информации: обеспечение конфиденциальности, целостности и аутентичности данных, разграничение ответственности (обеспечение неотказуемости), аутентификация абонентов. Стандарты криптографического преобразования данных.</t>
        </is>
      </c>
      <c r="B1140" s="2" t="n"/>
      <c r="C1140" s="2" t="n"/>
      <c r="D1140" s="2" t="n"/>
      <c r="E1140" s="2" t="n"/>
      <c r="F1140" s="2" t="n"/>
      <c r="G1140" s="2" t="n"/>
    </row>
    <row r="1141" ht="32" customHeight="1">
      <c r="A1141" s="22" t="inlineStr">
        <is>
          <t>Методы и системы криптографического преобразования информации.</t>
        </is>
      </c>
      <c r="B1141" s="2" t="n"/>
      <c r="C1141" s="2" t="n"/>
      <c r="D1141" s="2" t="n"/>
      <c r="E1141" s="2" t="n"/>
      <c r="F1141" s="2" t="n"/>
      <c r="G1141" s="2" t="n"/>
    </row>
    <row r="1142" ht="32" customHeight="1">
      <c r="A1142" s="22" t="inlineStr">
        <is>
          <t>Использование методов шифрования с симметричным ключом. Использование хэш-функций. Использование методов шифрования с открытым ключом.</t>
        </is>
      </c>
      <c r="B1142" s="2" t="n"/>
      <c r="C1142" s="2" t="n"/>
      <c r="D1142" s="2" t="n"/>
      <c r="E1142" s="2" t="n"/>
      <c r="F1142" s="2" t="n"/>
      <c r="G1142" s="2" t="n"/>
    </row>
    <row r="1143" ht="32" customHeight="1">
      <c r="A1143" s="22" t="inlineStr">
        <is>
          <t>Основы управления ключами криптографических алгоритмов.</t>
        </is>
      </c>
      <c r="B1143" s="2" t="n"/>
      <c r="C1143" s="2" t="n"/>
      <c r="D1143" s="2" t="n"/>
      <c r="E1143" s="2" t="n"/>
      <c r="F1143" s="2" t="n"/>
      <c r="G1143" s="2" t="n"/>
    </row>
    <row r="1144" ht="32" customHeight="1">
      <c r="A1144" s="22" t="inlineStr">
        <is>
          <t>Жизненный цикл ключевой информации. Требования к ключам стандартных криптографических алгоритмов.</t>
        </is>
      </c>
      <c r="B1144" s="2" t="n"/>
      <c r="C1144" s="2" t="n"/>
      <c r="D1144" s="2" t="n"/>
      <c r="E1144" s="2" t="n"/>
      <c r="F1144" s="2" t="n"/>
      <c r="G1144" s="2" t="n"/>
    </row>
    <row r="1145" ht="32" customHeight="1">
      <c r="A1145" s="22" t="inlineStr">
        <is>
          <t>Использование инфраструктуры открытых ключей Public Key Infrastructure (PKI) для защиты информации.</t>
        </is>
      </c>
      <c r="B1145" s="2" t="n"/>
      <c r="C1145" s="2" t="n"/>
      <c r="D1145" s="2" t="n"/>
      <c r="E1145" s="2" t="n"/>
      <c r="F1145" s="2" t="n"/>
      <c r="G1145" s="2" t="n"/>
    </row>
    <row r="1146" ht="32" customHeight="1">
      <c r="A1146" s="22" t="inlineStr">
        <is>
          <t>Введение в электронные сертификаты. Введение в инфраструктуру открытых ключей PKI. Развертывание и администрирование системы сертификатов.</t>
        </is>
      </c>
      <c r="B1146" s="2" t="n"/>
      <c r="C1146" s="2" t="n"/>
      <c r="D1146" s="2" t="n"/>
      <c r="E1146" s="2" t="n"/>
      <c r="F1146" s="2" t="n"/>
      <c r="G1146" s="2" t="n"/>
    </row>
    <row r="1147" ht="51" customHeight="1">
      <c r="A1147" s="3" t="inlineStr">
        <is>
          <t>ККС — Кибербезопасность корпоративных систем
Раздел: Криптографическая защита информации · УТП: таблица 2, строка 25</t>
        </is>
      </c>
      <c r="B1147" s="4" t="n"/>
      <c r="C1147" s="4" t="n"/>
      <c r="D1147" s="4" t="n"/>
      <c r="E1147" s="4" t="n"/>
      <c r="F1147" s="4" t="n"/>
      <c r="G1147" s="4" t="n"/>
    </row>
    <row r="1148" ht="30" customHeight="1">
      <c r="A1148" s="3" t="inlineStr">
        <is>
          <t>В программе: Тема 1. Криптографические методы защиты информации (4 часа лекции).</t>
        </is>
      </c>
      <c r="B1148" s="4" t="n"/>
      <c r="C1148" s="4" t="n"/>
      <c r="D1148" s="4" t="n"/>
      <c r="E1148" s="4" t="n"/>
      <c r="F1148" s="4" t="n"/>
      <c r="G1148" s="4" t="n"/>
    </row>
    <row r="1149" ht="25" customHeight="1">
      <c r="A1149" s="23" t="inlineStr">
        <is>
          <t>Исходная программа ККС ↗</t>
        </is>
      </c>
      <c r="D1149" s="23" t="inlineStr">
        <is>
          <t>Исходный УТП ККС ↗</t>
        </is>
      </c>
    </row>
    <row r="1150" ht="27" customHeight="1">
      <c r="A1150" s="20" t="inlineStr">
        <is>
          <t>Вариант для: ТК</t>
        </is>
      </c>
      <c r="B1150" s="21" t="n"/>
      <c r="C1150" s="21" t="n"/>
      <c r="D1150" s="21" t="n"/>
      <c r="E1150" s="21" t="n"/>
      <c r="F1150" s="21" t="n"/>
      <c r="G1150" s="21" t="n"/>
    </row>
    <row r="1151" ht="64" customHeight="1">
      <c r="A1151" s="22" t="inlineStr">
        <is>
          <t>Нормативное правовое обеспечение криптографической защиты информации. Криптографические алгоритмы для обеспечения конфиденциальности и целостности данных. Инфраструктура открытых ключей. Аутентификация абонентов в информационных сетях. Функция хэширования и ее применение. Управление криптографическими ключами, требования по их генерации, распределению, хранению, доступу к ним и их уничтожению.</t>
        </is>
      </c>
      <c r="B1151" s="2" t="n"/>
      <c r="C1151" s="2" t="n"/>
      <c r="D1151" s="2" t="n"/>
      <c r="E1151" s="2" t="n"/>
      <c r="F1151" s="2" t="n"/>
      <c r="G1151" s="2" t="n"/>
    </row>
    <row r="1152" ht="51" customHeight="1">
      <c r="A1152" s="3" t="inlineStr">
        <is>
          <t>ТК — Технологии кибербезопасности: от spoofing-атак до VPN и межсетевых экранов
Раздел: Особенности криптографической защиты информации · УТП: таблица 2, строка 25</t>
        </is>
      </c>
      <c r="B1152" s="4" t="n"/>
      <c r="C1152" s="4" t="n"/>
      <c r="D1152" s="4" t="n"/>
      <c r="E1152" s="4" t="n"/>
      <c r="F1152" s="4" t="n"/>
      <c r="G1152" s="4" t="n"/>
    </row>
    <row r="1153" ht="30" customHeight="1">
      <c r="A1153" s="3" t="inlineStr">
        <is>
          <t>В программе: Тема 1. Криптографические методы защиты информации (4 часа лекции).</t>
        </is>
      </c>
      <c r="B1153" s="4" t="n"/>
      <c r="C1153" s="4" t="n"/>
      <c r="D1153" s="4" t="n"/>
      <c r="E1153" s="4" t="n"/>
      <c r="F1153" s="4" t="n"/>
      <c r="G1153" s="4" t="n"/>
    </row>
    <row r="1154" ht="25" customHeight="1">
      <c r="A1154" s="23" t="inlineStr">
        <is>
          <t>Исходная программа ТК ↗</t>
        </is>
      </c>
      <c r="D1154" s="23" t="inlineStr">
        <is>
          <t>Исходный УТП ТК ↗</t>
        </is>
      </c>
    </row>
    <row r="1155" ht="27" customHeight="1">
      <c r="A1155" s="24">
        <f>HYPERLINK("#'Выбор тем'!E"&amp;MATCH("T-A37A8875",'Выбор тем'!$A:$A,0),"← Вернуться к теме")</f>
        <v/>
      </c>
    </row>
    <row r="1157" ht="38" customHeight="1">
      <c r="A1157" s="18" t="inlineStr">
        <is>
          <t>Криптографические протоколы</t>
        </is>
      </c>
      <c r="B1157" s="19" t="n"/>
      <c r="C1157" s="19" t="n"/>
      <c r="D1157" s="19" t="n"/>
      <c r="E1157" s="19" t="n"/>
      <c r="F1157" s="19" t="n"/>
      <c r="G1157" s="19" t="n"/>
    </row>
    <row r="1158" ht="26" customHeight="1">
      <c r="A1158" s="3" t="inlineStr">
        <is>
          <t>T-D37AF65A · Программы: КЗИ</t>
        </is>
      </c>
      <c r="B1158" s="4" t="n"/>
      <c r="C1158" s="4" t="n"/>
      <c r="D1158" s="4" t="n"/>
      <c r="E1158" s="4" t="n"/>
      <c r="F1158" s="4" t="n"/>
      <c r="G1158" s="4" t="n"/>
    </row>
    <row r="1159" ht="27" customHeight="1">
      <c r="A1159" s="20" t="inlineStr">
        <is>
          <t>Вариант для: КЗИ</t>
        </is>
      </c>
      <c r="B1159" s="21" t="n"/>
      <c r="C1159" s="21" t="n"/>
      <c r="D1159" s="21" t="n"/>
      <c r="E1159" s="21" t="n"/>
      <c r="F1159" s="21" t="n"/>
      <c r="G1159" s="21" t="n"/>
    </row>
    <row r="1160" ht="32" customHeight="1">
      <c r="A1160" s="22" t="inlineStr">
        <is>
          <t>Понятие криптографического протокола. Виды криптографических протоколов.</t>
        </is>
      </c>
      <c r="B1160" s="2" t="n"/>
      <c r="C1160" s="2" t="n"/>
      <c r="D1160" s="2" t="n"/>
      <c r="E1160" s="2" t="n"/>
      <c r="F1160" s="2" t="n"/>
      <c r="G1160" s="2" t="n"/>
    </row>
    <row r="1161" ht="48" customHeight="1">
      <c r="A1161" s="22" t="inlineStr">
        <is>
          <t>Протоколы формирования общего ключа. Протокол Диффи-Хеллмана и задача дискретного логарифмирования. Атака «Человек посередине». Модификации протокола Диффи-Хеллмана. СТБ 34.101.66 (BSTS, BMQV).</t>
        </is>
      </c>
      <c r="B1161" s="2" t="n"/>
      <c r="C1161" s="2" t="n"/>
      <c r="D1161" s="2" t="n"/>
      <c r="E1161" s="2" t="n"/>
      <c r="F1161" s="2" t="n"/>
      <c r="G1161" s="2" t="n"/>
    </row>
    <row r="1162" ht="48" customHeight="1">
      <c r="A1162" s="22" t="inlineStr">
        <is>
          <t>Протоколы аутентификации. Понятия идентификации и аутентификации. Основные схемы идентификации и аутентификации. Протоколы Oauth, OpenIdConnect, PACE, BPACE, BAUTH.</t>
        </is>
      </c>
      <c r="B1162" s="2" t="n"/>
      <c r="C1162" s="2" t="n"/>
      <c r="D1162" s="2" t="n"/>
      <c r="E1162" s="2" t="n"/>
      <c r="F1162" s="2" t="n"/>
      <c r="G1162" s="2" t="n"/>
    </row>
    <row r="1163" ht="32" customHeight="1">
      <c r="A1163" s="22" t="inlineStr">
        <is>
          <t>Высокоуровневые протоколы. SSL, TLS, SSH, IPsec.</t>
        </is>
      </c>
      <c r="B1163" s="2" t="n"/>
      <c r="C1163" s="2" t="n"/>
      <c r="D1163" s="2" t="n"/>
      <c r="E1163" s="2" t="n"/>
      <c r="F1163" s="2" t="n"/>
      <c r="G1163" s="2" t="n"/>
    </row>
    <row r="1164" ht="51" customHeight="1">
      <c r="A1164" s="3" t="inlineStr">
        <is>
          <t>КЗИ — Криптографическая защита информации
Раздел: Основные криптографические алгоритмы и протоколы · УТП: таблица 2, строка 11</t>
        </is>
      </c>
      <c r="B1164" s="4" t="n"/>
      <c r="C1164" s="4" t="n"/>
      <c r="D1164" s="4" t="n"/>
      <c r="E1164" s="4" t="n"/>
      <c r="F1164" s="4" t="n"/>
      <c r="G1164" s="4" t="n"/>
    </row>
    <row r="1165" ht="30" customHeight="1">
      <c r="A1165" s="3" t="inlineStr">
        <is>
          <t>В программе: Тема 2. Криптографические протоколы (4 часа лекции).</t>
        </is>
      </c>
      <c r="B1165" s="4" t="n"/>
      <c r="C1165" s="4" t="n"/>
      <c r="D1165" s="4" t="n"/>
      <c r="E1165" s="4" t="n"/>
      <c r="F1165" s="4" t="n"/>
      <c r="G1165" s="4" t="n"/>
    </row>
    <row r="1166" ht="25" customHeight="1">
      <c r="A1166" s="23" t="inlineStr">
        <is>
          <t>Исходная программа КЗИ ↗</t>
        </is>
      </c>
      <c r="D1166" s="23" t="inlineStr">
        <is>
          <t>Исходный УТП КЗИ ↗</t>
        </is>
      </c>
    </row>
    <row r="1167" ht="27" customHeight="1">
      <c r="A1167" s="24">
        <f>HYPERLINK("#'Выбор тем'!E"&amp;MATCH("T-D37AF65A",'Выбор тем'!$A:$A,0),"← Вернуться к теме")</f>
        <v/>
      </c>
    </row>
    <row r="1169" ht="38" customHeight="1">
      <c r="A1169" s="18" t="inlineStr">
        <is>
          <t>Криптография с открытым ключом</t>
        </is>
      </c>
      <c r="B1169" s="19" t="n"/>
      <c r="C1169" s="19" t="n"/>
      <c r="D1169" s="19" t="n"/>
      <c r="E1169" s="19" t="n"/>
      <c r="F1169" s="19" t="n"/>
      <c r="G1169" s="19" t="n"/>
    </row>
    <row r="1170" ht="26" customHeight="1">
      <c r="A1170" s="3" t="inlineStr">
        <is>
          <t>T-9EDC67E9 · Программы: КЗИ</t>
        </is>
      </c>
      <c r="B1170" s="4" t="n"/>
      <c r="C1170" s="4" t="n"/>
      <c r="D1170" s="4" t="n"/>
      <c r="E1170" s="4" t="n"/>
      <c r="F1170" s="4" t="n"/>
      <c r="G1170" s="4" t="n"/>
    </row>
    <row r="1171" ht="27" customHeight="1">
      <c r="A1171" s="20" t="inlineStr">
        <is>
          <t>Вариант для: КЗИ</t>
        </is>
      </c>
      <c r="B1171" s="21" t="n"/>
      <c r="C1171" s="21" t="n"/>
      <c r="D1171" s="21" t="n"/>
      <c r="E1171" s="21" t="n"/>
      <c r="F1171" s="21" t="n"/>
      <c r="G1171" s="21" t="n"/>
    </row>
    <row r="1172" ht="48" customHeight="1">
      <c r="A1172" s="22" t="inlineStr">
        <is>
          <t>Концепция криптографии с открытым ключом. Секретная связь без предварительного распределения ключей. Прямой обмен ключами. Аутентификация данных и пользователей. Простые числа в криптографии с открытым ключом.</t>
        </is>
      </c>
      <c r="B1172" s="2" t="n"/>
      <c r="C1172" s="2" t="n"/>
      <c r="D1172" s="2" t="n"/>
      <c r="E1172" s="2" t="n"/>
      <c r="F1172" s="2" t="n"/>
      <c r="G1172" s="2" t="n"/>
    </row>
    <row r="1173" ht="32" customHeight="1">
      <c r="A1173" s="22" t="inlineStr">
        <is>
          <t>Криптографические алгоритмы с открытыми ключами. RSA. DSA. EСDSA.</t>
        </is>
      </c>
      <c r="B1173" s="2" t="n"/>
      <c r="C1173" s="2" t="n"/>
      <c r="D1173" s="2" t="n"/>
      <c r="E1173" s="2" t="n"/>
      <c r="F1173" s="2" t="n"/>
      <c r="G1173" s="2" t="n"/>
    </row>
    <row r="1174" ht="32" customHeight="1">
      <c r="A1174" s="22" t="inlineStr">
        <is>
          <t>Электронная цифровая подпись. Криптографическая модель электронной цифровой подписи. СТБ 1176.2, СТБ 34.101.45.</t>
        </is>
      </c>
      <c r="B1174" s="2" t="n"/>
      <c r="C1174" s="2" t="n"/>
      <c r="D1174" s="2" t="n"/>
      <c r="E1174" s="2" t="n"/>
      <c r="F1174" s="2" t="n"/>
      <c r="G1174" s="2" t="n"/>
    </row>
    <row r="1175" ht="51" customHeight="1">
      <c r="A1175" s="3" t="inlineStr">
        <is>
          <t>КЗИ — Криптографическая защита информации
Раздел: Основные криптографические алгоритмы и протоколы · УТП: таблица 2, строка 10</t>
        </is>
      </c>
      <c r="B1175" s="4" t="n"/>
      <c r="C1175" s="4" t="n"/>
      <c r="D1175" s="4" t="n"/>
      <c r="E1175" s="4" t="n"/>
      <c r="F1175" s="4" t="n"/>
      <c r="G1175" s="4" t="n"/>
    </row>
    <row r="1176" ht="30" customHeight="1">
      <c r="A1176" s="3" t="inlineStr">
        <is>
          <t>В программе: Тема 1. Криптография с открытым ключом (4 часа лекции).</t>
        </is>
      </c>
      <c r="B1176" s="4" t="n"/>
      <c r="C1176" s="4" t="n"/>
      <c r="D1176" s="4" t="n"/>
      <c r="E1176" s="4" t="n"/>
      <c r="F1176" s="4" t="n"/>
      <c r="G1176" s="4" t="n"/>
    </row>
    <row r="1177" ht="25" customHeight="1">
      <c r="A1177" s="23" t="inlineStr">
        <is>
          <t>Исходная программа КЗИ ↗</t>
        </is>
      </c>
      <c r="D1177" s="23" t="inlineStr">
        <is>
          <t>Исходный УТП КЗИ ↗</t>
        </is>
      </c>
    </row>
    <row r="1178" ht="27" customHeight="1">
      <c r="A1178" s="24">
        <f>HYPERLINK("#'Выбор тем'!E"&amp;MATCH("T-9EDC67E9",'Выбор тем'!$A:$A,0),"← Вернуться к теме")</f>
        <v/>
      </c>
    </row>
    <row r="1180" ht="38" customHeight="1">
      <c r="A1180" s="18" t="inlineStr">
        <is>
          <t>Критерии выбора и области применения инструментов SOAR, SIEM и TI</t>
        </is>
      </c>
      <c r="B1180" s="19" t="n"/>
      <c r="C1180" s="19" t="n"/>
      <c r="D1180" s="19" t="n"/>
      <c r="E1180" s="19" t="n"/>
      <c r="F1180" s="19" t="n"/>
      <c r="G1180" s="19" t="n"/>
    </row>
    <row r="1181" ht="26" customHeight="1">
      <c r="A1181" s="3" t="inlineStr">
        <is>
          <t>T-691B27B5 · Программы: РКИОК</t>
        </is>
      </c>
      <c r="B1181" s="4" t="n"/>
      <c r="C1181" s="4" t="n"/>
      <c r="D1181" s="4" t="n"/>
      <c r="E1181" s="4" t="n"/>
      <c r="F1181" s="4" t="n"/>
      <c r="G1181" s="4" t="n"/>
    </row>
    <row r="1182" ht="27" customHeight="1">
      <c r="A1182" s="20" t="inlineStr">
        <is>
          <t>Вариант для: РКИОК</t>
        </is>
      </c>
      <c r="B1182" s="21" t="n"/>
      <c r="C1182" s="21" t="n"/>
      <c r="D1182" s="21" t="n"/>
      <c r="E1182" s="21" t="n"/>
      <c r="F1182" s="21" t="n"/>
      <c r="G1182" s="21" t="n"/>
    </row>
    <row r="1183" ht="48" customHeight="1">
      <c r="A1183" s="22" t="inlineStr">
        <is>
          <t>Критерии выбора между SIEM, SOAR и TI в зависимости от задачи. Разграничение функций: мониторинг, аналитика, автоматизация, разведка. Примеры распределения нагрузки и совместной работы.</t>
        </is>
      </c>
      <c r="B1183" s="2" t="n"/>
      <c r="C1183" s="2" t="n"/>
      <c r="D1183" s="2" t="n"/>
      <c r="E1183" s="2" t="n"/>
      <c r="F1183" s="2" t="n"/>
      <c r="G1183" s="2" t="n"/>
    </row>
    <row r="1184" ht="51" customHeight="1">
      <c r="A1184" s="3" t="inlineStr">
        <is>
          <t>РКИОК — Реагирование на киберинциденты и отражение кибератак
Раздел: Связь SOAR/TI/SIEM · УТП: таблица 2, строка 68</t>
        </is>
      </c>
      <c r="B1184" s="4" t="n"/>
      <c r="C1184" s="4" t="n"/>
      <c r="D1184" s="4" t="n"/>
      <c r="E1184" s="4" t="n"/>
      <c r="F1184" s="4" t="n"/>
      <c r="G1184" s="4" t="n"/>
    </row>
    <row r="1185" ht="30" customHeight="1">
      <c r="A1185" s="3" t="inlineStr">
        <is>
          <t>В программе: Тема 2. Критерии выбора и области применения инструментов SOAR, SIEM и TI (2 часа лекции).</t>
        </is>
      </c>
      <c r="B1185" s="4" t="n"/>
      <c r="C1185" s="4" t="n"/>
      <c r="D1185" s="4" t="n"/>
      <c r="E1185" s="4" t="n"/>
      <c r="F1185" s="4" t="n"/>
      <c r="G1185" s="4" t="n"/>
    </row>
    <row r="1186" ht="25" customHeight="1">
      <c r="A1186" s="23" t="inlineStr">
        <is>
          <t>Исходная программа РКИОК ↗</t>
        </is>
      </c>
      <c r="D1186" s="23" t="inlineStr">
        <is>
          <t>Исходный УТП РКИОК ↗</t>
        </is>
      </c>
    </row>
    <row r="1187" ht="27" customHeight="1">
      <c r="A1187" s="24">
        <f>HYPERLINK("#'Выбор тем'!E"&amp;MATCH("T-691B27B5",'Выбор тем'!$A:$A,0),"← Вернуться к теме")</f>
        <v/>
      </c>
    </row>
    <row r="1189" ht="38" customHeight="1">
      <c r="A1189" s="18" t="inlineStr">
        <is>
          <t>Логика, триггеры, действия, проверка условий</t>
        </is>
      </c>
      <c r="B1189" s="19" t="n"/>
      <c r="C1189" s="19" t="n"/>
      <c r="D1189" s="19" t="n"/>
      <c r="E1189" s="19" t="n"/>
      <c r="F1189" s="19" t="n"/>
      <c r="G1189" s="19" t="n"/>
    </row>
    <row r="1190" ht="26" customHeight="1">
      <c r="A1190" s="3" t="inlineStr">
        <is>
          <t>T-B685C0DC · Программы: РКИОК</t>
        </is>
      </c>
      <c r="B1190" s="4" t="n"/>
      <c r="C1190" s="4" t="n"/>
      <c r="D1190" s="4" t="n"/>
      <c r="E1190" s="4" t="n"/>
      <c r="F1190" s="4" t="n"/>
      <c r="G1190" s="4" t="n"/>
    </row>
    <row r="1191" ht="27" customHeight="1">
      <c r="A1191" s="20" t="inlineStr">
        <is>
          <t>Вариант для: РКИОК</t>
        </is>
      </c>
      <c r="B1191" s="21" t="n"/>
      <c r="C1191" s="21" t="n"/>
      <c r="D1191" s="21" t="n"/>
      <c r="E1191" s="21" t="n"/>
      <c r="F1191" s="21" t="n"/>
      <c r="G1191" s="21" t="n"/>
    </row>
    <row r="1192" ht="48" customHeight="1">
      <c r="A1192" s="22" t="inlineStr">
        <is>
          <t>Правила запуска плейбуков: события, расписание, внешние вызовы. Работа с условиями и циклическими конструкциями в сценариях. Контроль корректности выполнения и обработка ошибок.</t>
        </is>
      </c>
      <c r="B1192" s="2" t="n"/>
      <c r="C1192" s="2" t="n"/>
      <c r="D1192" s="2" t="n"/>
      <c r="E1192" s="2" t="n"/>
      <c r="F1192" s="2" t="n"/>
      <c r="G1192" s="2" t="n"/>
    </row>
    <row r="1193" ht="51" customHeight="1">
      <c r="A1193" s="3" t="inlineStr">
        <is>
          <t>РКИОК — Реагирование на киберинциденты и отражение кибератак
Раздел: Интеграция и использование SOAR в ЦКБ · УТП: таблица 2, строка 48</t>
        </is>
      </c>
      <c r="B1193" s="4" t="n"/>
      <c r="C1193" s="4" t="n"/>
      <c r="D1193" s="4" t="n"/>
      <c r="E1193" s="4" t="n"/>
      <c r="F1193" s="4" t="n"/>
      <c r="G1193" s="4" t="n"/>
    </row>
    <row r="1194" ht="30" customHeight="1">
      <c r="A1194" s="3" t="inlineStr">
        <is>
          <t>В программе: Тема 6. Логика, триггеры, действия, проверка условий (1 час лекции).</t>
        </is>
      </c>
      <c r="B1194" s="4" t="n"/>
      <c r="C1194" s="4" t="n"/>
      <c r="D1194" s="4" t="n"/>
      <c r="E1194" s="4" t="n"/>
      <c r="F1194" s="4" t="n"/>
      <c r="G1194" s="4" t="n"/>
    </row>
    <row r="1195" ht="25" customHeight="1">
      <c r="A1195" s="23" t="inlineStr">
        <is>
          <t>Исходная программа РКИОК ↗</t>
        </is>
      </c>
      <c r="D1195" s="23" t="inlineStr">
        <is>
          <t>Исходный УТП РКИОК ↗</t>
        </is>
      </c>
    </row>
    <row r="1196" ht="27" customHeight="1">
      <c r="A1196" s="24">
        <f>HYPERLINK("#'Выбор тем'!E"&amp;MATCH("T-B685C0DC",'Выбор тем'!$A:$A,0),"← Вернуться к теме")</f>
        <v/>
      </c>
    </row>
    <row r="1198" ht="38" customHeight="1">
      <c r="A1198" s="18" t="inlineStr">
        <is>
          <t>Маршрутизаторы и NAT: построение межсетевых соединений. Беспроводные сети: стандарты, безопасность и проектирование</t>
        </is>
      </c>
      <c r="B1198" s="19" t="n"/>
      <c r="C1198" s="19" t="n"/>
      <c r="D1198" s="19" t="n"/>
      <c r="E1198" s="19" t="n"/>
      <c r="F1198" s="19" t="n"/>
      <c r="G1198" s="19" t="n"/>
    </row>
    <row r="1199" ht="26" customHeight="1">
      <c r="A1199" s="3" t="inlineStr">
        <is>
          <t>T-32FE9580 · Программы: ОПКС</t>
        </is>
      </c>
      <c r="B1199" s="4" t="n"/>
      <c r="C1199" s="4" t="n"/>
      <c r="D1199" s="4" t="n"/>
      <c r="E1199" s="4" t="n"/>
      <c r="F1199" s="4" t="n"/>
      <c r="G1199" s="4" t="n"/>
    </row>
    <row r="1200" ht="27" customHeight="1">
      <c r="A1200" s="20" t="inlineStr">
        <is>
          <t>Вариант для: ОПКС</t>
        </is>
      </c>
      <c r="B1200" s="21" t="n"/>
      <c r="C1200" s="21" t="n"/>
      <c r="D1200" s="21" t="n"/>
      <c r="E1200" s="21" t="n"/>
      <c r="F1200" s="21" t="n"/>
      <c r="G1200" s="21" t="n"/>
    </row>
    <row r="1201" ht="64" customHeight="1">
      <c r="A1201" s="22" t="inlineStr">
        <is>
          <t>Виды маршрутизаторов. Назначение и принципы маршрутизации. Таблицы маршрутизации. Стандарты передачи данных в беспроводных сетях. Стек протоколов IEEE 802.11. Виды оборудования для построения беспроводных сетей. Отличия частотных диапазонов, используемых в беспроводных сетях. Мероприятия при планировании беспроводных сетей.</t>
        </is>
      </c>
      <c r="B1201" s="2" t="n"/>
      <c r="C1201" s="2" t="n"/>
      <c r="D1201" s="2" t="n"/>
      <c r="E1201" s="2" t="n"/>
      <c r="F1201" s="2" t="n"/>
      <c r="G1201" s="2" t="n"/>
    </row>
    <row r="1202" ht="51" customHeight="1">
      <c r="A1202"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12</t>
        </is>
      </c>
      <c r="B1202" s="4" t="n"/>
      <c r="C1202" s="4" t="n"/>
      <c r="D1202" s="4" t="n"/>
      <c r="E1202" s="4" t="n"/>
      <c r="F1202" s="4" t="n"/>
      <c r="G1202" s="4" t="n"/>
    </row>
    <row r="1203" ht="30" customHeight="1">
      <c r="A1203" s="3" t="inlineStr">
        <is>
          <t>В программе: Тема 7. Маршрутизаторы и NAT: построение межсетевых соединений. Беспроводные сети: стандарты, безопасность и проектирование (2 часа лабораторные занятия).</t>
        </is>
      </c>
      <c r="B1203" s="4" t="n"/>
      <c r="C1203" s="4" t="n"/>
      <c r="D1203" s="4" t="n"/>
      <c r="E1203" s="4" t="n"/>
      <c r="F1203" s="4" t="n"/>
      <c r="G1203" s="4" t="n"/>
    </row>
    <row r="1204" ht="25" customHeight="1">
      <c r="A1204" s="23" t="inlineStr">
        <is>
          <t>Исходная программа ОПКС ↗</t>
        </is>
      </c>
      <c r="D1204" s="23" t="inlineStr">
        <is>
          <t>Исходный УТП ОПКС ↗</t>
        </is>
      </c>
    </row>
    <row r="1205" ht="27" customHeight="1">
      <c r="A1205" s="24">
        <f>HYPERLINK("#'Выбор тем'!E"&amp;MATCH("T-32FE9580",'Выбор тем'!$A:$A,0),"← Вернуться к теме")</f>
        <v/>
      </c>
    </row>
    <row r="1207" ht="38" customHeight="1">
      <c r="A1207" s="18" t="inlineStr">
        <is>
          <t>Маршрутизация в глобальной сети Интернет</t>
        </is>
      </c>
      <c r="B1207" s="19" t="n"/>
      <c r="C1207" s="19" t="n"/>
      <c r="D1207" s="19" t="n"/>
      <c r="E1207" s="19" t="n"/>
      <c r="F1207" s="19" t="n"/>
      <c r="G1207" s="19" t="n"/>
    </row>
    <row r="1208" ht="26" customHeight="1">
      <c r="A1208" s="3" t="inlineStr">
        <is>
          <t>T-E14F9F5E · Программы: ОКМ</t>
        </is>
      </c>
      <c r="B1208" s="4" t="n"/>
      <c r="C1208" s="4" t="n"/>
      <c r="D1208" s="4" t="n"/>
      <c r="E1208" s="4" t="n"/>
      <c r="F1208" s="4" t="n"/>
      <c r="G1208" s="4" t="n"/>
    </row>
    <row r="1209" ht="27" customHeight="1">
      <c r="A1209" s="20" t="inlineStr">
        <is>
          <t>Вариант для: ОКМ</t>
        </is>
      </c>
      <c r="B1209" s="21" t="n"/>
      <c r="C1209" s="21" t="n"/>
      <c r="D1209" s="21" t="n"/>
      <c r="E1209" s="21" t="n"/>
      <c r="F1209" s="21" t="n"/>
      <c r="G1209" s="21" t="n"/>
    </row>
    <row r="1210" ht="48" customHeight="1">
      <c r="A1210" s="22" t="inlineStr">
        <is>
          <t>Понятие автономной системы. Центры обмена трафиком, точки присутствия. Пиринговые взаимоотношения и транзит трафика. Протокол BGP: виды, атрибуты, принципы работы, настройка. Резервирование и распределение нагрузки между несколькими линиями связи.</t>
        </is>
      </c>
      <c r="B1210" s="2" t="n"/>
      <c r="C1210" s="2" t="n"/>
      <c r="D1210" s="2" t="n"/>
      <c r="E1210" s="2" t="n"/>
      <c r="F1210" s="2" t="n"/>
      <c r="G1210" s="2" t="n"/>
    </row>
    <row r="1211" ht="51" customHeight="1">
      <c r="A1211" s="3" t="inlineStr">
        <is>
          <t>ОКМ — Основы обеспечения кибербезопасности. маршрутизация. IPv4- и IPv6-адресация
Раздел: Маршрутизация. IPv4 и IPv6 адресация · УТП: таблица 2, строка 21</t>
        </is>
      </c>
      <c r="B1211" s="4" t="n"/>
      <c r="C1211" s="4" t="n"/>
      <c r="D1211" s="4" t="n"/>
      <c r="E1211" s="4" t="n"/>
      <c r="F1211" s="4" t="n"/>
      <c r="G1211" s="4" t="n"/>
    </row>
    <row r="1212" ht="30" customHeight="1">
      <c r="A1212" s="3" t="inlineStr">
        <is>
          <t>В программе: Тема 7. Маршрутизация в глобальной сети Интернет (2 часа лекции, 2 часа лабораторные занятия).</t>
        </is>
      </c>
      <c r="B1212" s="4" t="n"/>
      <c r="C1212" s="4" t="n"/>
      <c r="D1212" s="4" t="n"/>
      <c r="E1212" s="4" t="n"/>
      <c r="F1212" s="4" t="n"/>
      <c r="G1212" s="4" t="n"/>
    </row>
    <row r="1213" ht="25" customHeight="1">
      <c r="A1213" s="23" t="inlineStr">
        <is>
          <t>Исходная программа ОКМ ↗</t>
        </is>
      </c>
      <c r="D1213" s="23" t="inlineStr">
        <is>
          <t>Исходный УТП ОКМ ↗</t>
        </is>
      </c>
    </row>
    <row r="1214" ht="27" customHeight="1">
      <c r="A1214" s="24">
        <f>HYPERLINK("#'Выбор тем'!E"&amp;MATCH("T-E14F9F5E",'Выбор тем'!$A:$A,0),"← Вернуться к теме")</f>
        <v/>
      </c>
    </row>
    <row r="1216" ht="38" customHeight="1">
      <c r="A1216" s="18" t="inlineStr">
        <is>
          <t>Матрица MITRE</t>
        </is>
      </c>
      <c r="B1216" s="19" t="n"/>
      <c r="C1216" s="19" t="n"/>
      <c r="D1216" s="19" t="n"/>
      <c r="E1216" s="19" t="n"/>
      <c r="F1216" s="19" t="n"/>
      <c r="G1216" s="19" t="n"/>
    </row>
    <row r="1217" ht="26" customHeight="1">
      <c r="A1217" s="3" t="inlineStr">
        <is>
          <t>T-D66D70FA · Программы: РКИОК</t>
        </is>
      </c>
      <c r="B1217" s="4" t="n"/>
      <c r="C1217" s="4" t="n"/>
      <c r="D1217" s="4" t="n"/>
      <c r="E1217" s="4" t="n"/>
      <c r="F1217" s="4" t="n"/>
      <c r="G1217" s="4" t="n"/>
    </row>
    <row r="1218" ht="27" customHeight="1">
      <c r="A1218" s="20" t="inlineStr">
        <is>
          <t>Вариант для: РКИОК</t>
        </is>
      </c>
      <c r="B1218" s="21" t="n"/>
      <c r="C1218" s="21" t="n"/>
      <c r="D1218" s="21" t="n"/>
      <c r="E1218" s="21" t="n"/>
      <c r="F1218" s="21" t="n"/>
      <c r="G1218" s="21" t="n"/>
    </row>
    <row r="1219" ht="32" customHeight="1">
      <c r="A1219" s="22" t="inlineStr">
        <is>
          <t>Понятие матрицы MITRE, её цели и назначение. Разбор структуры матрицы. Обзор тактик, техник, под-техник. Применение матрицы в ЦКБ.</t>
        </is>
      </c>
      <c r="B1219" s="2" t="n"/>
      <c r="C1219" s="2" t="n"/>
      <c r="D1219" s="2" t="n"/>
      <c r="E1219" s="2" t="n"/>
      <c r="F1219" s="2" t="n"/>
      <c r="G1219" s="2" t="n"/>
    </row>
    <row r="1220" ht="51" customHeight="1">
      <c r="A1220" s="3" t="inlineStr">
        <is>
          <t>РКИОК — Реагирование на киберинциденты и отражение кибератак
Раздел: Угрозы информационной безопасности · УТП: таблица 2, строка 8</t>
        </is>
      </c>
      <c r="B1220" s="4" t="n"/>
      <c r="C1220" s="4" t="n"/>
      <c r="D1220" s="4" t="n"/>
      <c r="E1220" s="4" t="n"/>
      <c r="F1220" s="4" t="n"/>
      <c r="G1220" s="4" t="n"/>
    </row>
    <row r="1221" ht="30" customHeight="1">
      <c r="A1221" s="3" t="inlineStr">
        <is>
          <t>В программе: Тема 3. Матрица MITRE (1 час лекции).</t>
        </is>
      </c>
      <c r="B1221" s="4" t="n"/>
      <c r="C1221" s="4" t="n"/>
      <c r="D1221" s="4" t="n"/>
      <c r="E1221" s="4" t="n"/>
      <c r="F1221" s="4" t="n"/>
      <c r="G1221" s="4" t="n"/>
    </row>
    <row r="1222" ht="25" customHeight="1">
      <c r="A1222" s="23" t="inlineStr">
        <is>
          <t>Исходная программа РКИОК ↗</t>
        </is>
      </c>
      <c r="D1222" s="23" t="inlineStr">
        <is>
          <t>Исходный УТП РКИОК ↗</t>
        </is>
      </c>
    </row>
    <row r="1223" ht="27" customHeight="1">
      <c r="A1223" s="24">
        <f>HYPERLINK("#'Выбор тем'!E"&amp;MATCH("T-D66D70FA",'Выбор тем'!$A:$A,0),"← Вернуться к теме")</f>
        <v/>
      </c>
    </row>
    <row r="1225" ht="38" customHeight="1">
      <c r="A1225" s="18" t="inlineStr">
        <is>
          <t>Межсетевое экранирование</t>
        </is>
      </c>
      <c r="B1225" s="19" t="n"/>
      <c r="C1225" s="19" t="n"/>
      <c r="D1225" s="19" t="n"/>
      <c r="E1225" s="19" t="n"/>
      <c r="F1225" s="19" t="n"/>
      <c r="G1225" s="19" t="n"/>
    </row>
    <row r="1226" ht="26" customHeight="1">
      <c r="A1226" s="3" t="inlineStr">
        <is>
          <t>T-792BCB81 · Программы: ПСАЭ</t>
        </is>
      </c>
      <c r="B1226" s="4" t="n"/>
      <c r="C1226" s="4" t="n"/>
      <c r="D1226" s="4" t="n"/>
      <c r="E1226" s="4" t="n"/>
      <c r="F1226" s="4" t="n"/>
      <c r="G1226" s="4" t="n"/>
    </row>
    <row r="1227" ht="27" customHeight="1">
      <c r="A1227" s="20" t="inlineStr">
        <is>
          <t>Вариант для: ПСАЭ</t>
        </is>
      </c>
      <c r="B1227" s="21" t="n"/>
      <c r="C1227" s="21" t="n"/>
      <c r="D1227" s="21" t="n"/>
      <c r="E1227" s="21" t="n"/>
      <c r="F1227" s="21" t="n"/>
      <c r="G1227" s="21" t="n"/>
    </row>
    <row r="1228" ht="64" customHeight="1">
      <c r="A1228" s="22" t="inlineStr">
        <is>
          <t>Виды межсетевых экранов. Способы внедрения межсетевых экранов в информационную сеть. Сравнение функционала межсетевых экранов различных производителей. Рекомендации по конфигурированию межсетевых экранов. Последовательность действий и рекомендации по составлению правил политик безопасности межсетевых экранов.</t>
        </is>
      </c>
      <c r="B1228" s="2" t="n"/>
      <c r="C1228" s="2" t="n"/>
      <c r="D1228" s="2" t="n"/>
      <c r="E1228" s="2" t="n"/>
      <c r="F1228" s="2" t="n"/>
      <c r="G1228" s="2" t="n"/>
    </row>
    <row r="1229" ht="51" customHeight="1">
      <c r="A122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21</t>
        </is>
      </c>
      <c r="B1229" s="4" t="n"/>
      <c r="C1229" s="4" t="n"/>
      <c r="D1229" s="4" t="n"/>
      <c r="E1229" s="4" t="n"/>
      <c r="F1229" s="4" t="n"/>
      <c r="G1229" s="4" t="n"/>
    </row>
    <row r="1230" ht="30" customHeight="1">
      <c r="A1230" s="3" t="inlineStr">
        <is>
          <t>В программе: Тема 5. Межсетевое экранирование (4 часа лекции).</t>
        </is>
      </c>
      <c r="B1230" s="4" t="n"/>
      <c r="C1230" s="4" t="n"/>
      <c r="D1230" s="4" t="n"/>
      <c r="E1230" s="4" t="n"/>
      <c r="F1230" s="4" t="n"/>
      <c r="G1230" s="4" t="n"/>
    </row>
    <row r="1231" ht="25" customHeight="1">
      <c r="A1231" s="23" t="inlineStr">
        <is>
          <t>Исходная программа ПСАЭ ↗</t>
        </is>
      </c>
      <c r="D1231" s="23" t="inlineStr">
        <is>
          <t>Исходный УТП ПСАЭ ↗</t>
        </is>
      </c>
    </row>
    <row r="1232" ht="27" customHeight="1">
      <c r="A1232" s="24">
        <f>HYPERLINK("#'Выбор тем'!E"&amp;MATCH("T-792BCB81",'Выбор тем'!$A:$A,0),"← Вернуться к теме")</f>
        <v/>
      </c>
    </row>
    <row r="1234" ht="38" customHeight="1">
      <c r="A1234" s="18" t="inlineStr">
        <is>
          <t>Методики и стандарты, используемые при проведении аудита кибербезопасности</t>
        </is>
      </c>
      <c r="B1234" s="19" t="n"/>
      <c r="C1234" s="19" t="n"/>
      <c r="D1234" s="19" t="n"/>
      <c r="E1234" s="19" t="n"/>
      <c r="F1234" s="19" t="n"/>
      <c r="G1234" s="19" t="n"/>
    </row>
    <row r="1235" ht="26" customHeight="1">
      <c r="A1235" s="3" t="inlineStr">
        <is>
          <t>T-15CA52CC · Программы: АУРИК</t>
        </is>
      </c>
      <c r="B1235" s="4" t="n"/>
      <c r="C1235" s="4" t="n"/>
      <c r="D1235" s="4" t="n"/>
      <c r="E1235" s="4" t="n"/>
      <c r="F1235" s="4" t="n"/>
      <c r="G1235" s="4" t="n"/>
    </row>
    <row r="1236" ht="27" customHeight="1">
      <c r="A1236" s="20" t="inlineStr">
        <is>
          <t>Вариант для: АУРИК</t>
        </is>
      </c>
      <c r="B1236" s="21" t="n"/>
      <c r="C1236" s="21" t="n"/>
      <c r="D1236" s="21" t="n"/>
      <c r="E1236" s="21" t="n"/>
      <c r="F1236" s="21" t="n"/>
      <c r="G1236" s="21" t="n"/>
    </row>
    <row r="1237" ht="32" customHeight="1">
      <c r="A1237" s="22" t="inlineStr">
        <is>
          <t>Методики аудита кибербезопасности и их особенности.</t>
        </is>
      </c>
      <c r="B1237" s="2" t="n"/>
      <c r="C1237" s="2" t="n"/>
      <c r="D1237" s="2" t="n"/>
      <c r="E1237" s="2" t="n"/>
      <c r="F1237" s="2" t="n"/>
      <c r="G1237" s="2" t="n"/>
    </row>
    <row r="1238" ht="32" customHeight="1">
      <c r="A1238" s="22" t="inlineStr">
        <is>
          <t>Стандарты по аудиту кибербезопасности. Международные (ISO), Великобритании, США, Германии, Российской Федерации, отраслевые стандарты.</t>
        </is>
      </c>
      <c r="B1238" s="2" t="n"/>
      <c r="C1238" s="2" t="n"/>
      <c r="D1238" s="2" t="n"/>
      <c r="E1238" s="2" t="n"/>
      <c r="F1238" s="2" t="n"/>
      <c r="G1238" s="2" t="n"/>
    </row>
    <row r="1239" ht="32" customHeight="1">
      <c r="A1239" s="22" t="inlineStr">
        <is>
          <t>Средства сбора информации о защищенности информационной системы.</t>
        </is>
      </c>
      <c r="B1239" s="2" t="n"/>
      <c r="C1239" s="2" t="n"/>
      <c r="D1239" s="2" t="n"/>
      <c r="E1239" s="2" t="n"/>
      <c r="F1239" s="2" t="n"/>
      <c r="G1239" s="2" t="n"/>
    </row>
    <row r="1240" ht="32" customHeight="1">
      <c r="A1240" s="22" t="inlineStr">
        <is>
          <t>Аудит кибербезопасности в условиях Республики Беларусь. Рекомендации по различным видам обеспечения кибербезопасности.</t>
        </is>
      </c>
      <c r="B1240" s="2" t="n"/>
      <c r="C1240" s="2" t="n"/>
      <c r="D1240" s="2" t="n"/>
      <c r="E1240" s="2" t="n"/>
      <c r="F1240" s="2" t="n"/>
      <c r="G1240" s="2" t="n"/>
    </row>
    <row r="1241" ht="51" customHeight="1">
      <c r="A1241" s="3" t="inlineStr">
        <is>
          <t>АУРИК — Аудит, управление рисками и инцидентами кибербезопасности
Раздел: Аудит кибербезопасности · УТП: таблица 2, строка 20</t>
        </is>
      </c>
      <c r="B1241" s="4" t="n"/>
      <c r="C1241" s="4" t="n"/>
      <c r="D1241" s="4" t="n"/>
      <c r="E1241" s="4" t="n"/>
      <c r="F1241" s="4" t="n"/>
      <c r="G1241" s="4" t="n"/>
    </row>
    <row r="1242" ht="30" customHeight="1">
      <c r="A1242" s="3" t="inlineStr">
        <is>
          <t>В программе: Тема 2. Методики и стандарты, используемые при проведении аудита кибербезопасности (2 часа лекции, 2 часа круглый стол).</t>
        </is>
      </c>
      <c r="B1242" s="4" t="n"/>
      <c r="C1242" s="4" t="n"/>
      <c r="D1242" s="4" t="n"/>
      <c r="E1242" s="4" t="n"/>
      <c r="F1242" s="4" t="n"/>
      <c r="G1242" s="4" t="n"/>
    </row>
    <row r="1243" ht="25" customHeight="1">
      <c r="A1243" s="23" t="inlineStr">
        <is>
          <t>Исходная программа АУРИК ↗</t>
        </is>
      </c>
      <c r="D1243" s="23" t="inlineStr">
        <is>
          <t>Исходный УТП АУРИК ↗</t>
        </is>
      </c>
    </row>
    <row r="1244" ht="27" customHeight="1">
      <c r="A1244" s="24">
        <f>HYPERLINK("#'Выбор тем'!E"&amp;MATCH("T-15CA52CC",'Выбор тем'!$A:$A,0),"← Вернуться к теме")</f>
        <v/>
      </c>
    </row>
    <row r="1246" ht="38" customHeight="1">
      <c r="A1246" s="18" t="inlineStr">
        <is>
          <t>Методология анализа и оценки рисков кибербезопасности</t>
        </is>
      </c>
      <c r="B1246" s="19" t="n"/>
      <c r="C1246" s="19" t="n"/>
      <c r="D1246" s="19" t="n"/>
      <c r="E1246" s="19" t="n"/>
      <c r="F1246" s="19" t="n"/>
      <c r="G1246" s="19" t="n"/>
    </row>
    <row r="1247" ht="26" customHeight="1">
      <c r="A1247" s="3" t="inlineStr">
        <is>
          <t>T-A043600E · Программы: АУРИК</t>
        </is>
      </c>
      <c r="B1247" s="4" t="n"/>
      <c r="C1247" s="4" t="n"/>
      <c r="D1247" s="4" t="n"/>
      <c r="E1247" s="4" t="n"/>
      <c r="F1247" s="4" t="n"/>
      <c r="G1247" s="4" t="n"/>
    </row>
    <row r="1248" ht="27" customHeight="1">
      <c r="A1248" s="20" t="inlineStr">
        <is>
          <t>Вариант для: АУРИК</t>
        </is>
      </c>
      <c r="B1248" s="21" t="n"/>
      <c r="C1248" s="21" t="n"/>
      <c r="D1248" s="21" t="n"/>
      <c r="E1248" s="21" t="n"/>
      <c r="F1248" s="21" t="n"/>
      <c r="G1248" s="21" t="n"/>
    </row>
    <row r="1249" ht="64" customHeight="1">
      <c r="A1249" s="22" t="inlineStr">
        <is>
          <t>Анализ и оценка рисков кибербезопасности. Обзор основных методов анализа и оценки рисков, используемых в практике зарубежных стран. Современные стандарты в области управления рисками кибербезопасности: международные (ISO), Великобритании, США, Германии, Российской Федерации. Примеры современных методик анализа и оценки рисков. Разработка корпоративной методики анализа рисков. Постановка задачи. Результирующая документация.</t>
        </is>
      </c>
      <c r="B1249" s="2" t="n"/>
      <c r="C1249" s="2" t="n"/>
      <c r="D1249" s="2" t="n"/>
      <c r="E1249" s="2" t="n"/>
      <c r="F1249" s="2" t="n"/>
      <c r="G1249" s="2" t="n"/>
    </row>
    <row r="1250" ht="51" customHeight="1">
      <c r="A1250" s="3" t="inlineStr">
        <is>
          <t>АУРИК — Аудит, управление рисками и инцидентами кибербезопасности
Раздел: Управление рисками кибербезопасности · УТП: таблица 2, строка 16</t>
        </is>
      </c>
      <c r="B1250" s="4" t="n"/>
      <c r="C1250" s="4" t="n"/>
      <c r="D1250" s="4" t="n"/>
      <c r="E1250" s="4" t="n"/>
      <c r="F1250" s="4" t="n"/>
      <c r="G1250" s="4" t="n"/>
    </row>
    <row r="1251" ht="30" customHeight="1">
      <c r="A1251" s="3" t="inlineStr">
        <is>
          <t>В программе: Тема 2. Методология анализа и оценки рисков кибербезопасности (2 часа лекции, 2 часа круглый стол).</t>
        </is>
      </c>
      <c r="B1251" s="4" t="n"/>
      <c r="C1251" s="4" t="n"/>
      <c r="D1251" s="4" t="n"/>
      <c r="E1251" s="4" t="n"/>
      <c r="F1251" s="4" t="n"/>
      <c r="G1251" s="4" t="n"/>
    </row>
    <row r="1252" ht="25" customHeight="1">
      <c r="A1252" s="23" t="inlineStr">
        <is>
          <t>Исходная программа АУРИК ↗</t>
        </is>
      </c>
      <c r="D1252" s="23" t="inlineStr">
        <is>
          <t>Исходный УТП АУРИК ↗</t>
        </is>
      </c>
    </row>
    <row r="1253" ht="27" customHeight="1">
      <c r="A1253" s="24">
        <f>HYPERLINK("#'Выбор тем'!E"&amp;MATCH("T-A043600E",'Выбор тем'!$A:$A,0),"← Вернуться к теме")</f>
        <v/>
      </c>
    </row>
    <row r="1255" ht="38" customHeight="1">
      <c r="A1255" s="18" t="inlineStr">
        <is>
          <t>Методы анализа и детектирования: сигнатурный и поведенческий подходы</t>
        </is>
      </c>
      <c r="B1255" s="19" t="n"/>
      <c r="C1255" s="19" t="n"/>
      <c r="D1255" s="19" t="n"/>
      <c r="E1255" s="19" t="n"/>
      <c r="F1255" s="19" t="n"/>
      <c r="G1255" s="19" t="n"/>
    </row>
    <row r="1256" ht="26" customHeight="1">
      <c r="A1256" s="3" t="inlineStr">
        <is>
          <t>T-8FE53C14 · Программы: РКИОК</t>
        </is>
      </c>
      <c r="B1256" s="4" t="n"/>
      <c r="C1256" s="4" t="n"/>
      <c r="D1256" s="4" t="n"/>
      <c r="E1256" s="4" t="n"/>
      <c r="F1256" s="4" t="n"/>
      <c r="G1256" s="4" t="n"/>
    </row>
    <row r="1257" ht="27" customHeight="1">
      <c r="A1257" s="20" t="inlineStr">
        <is>
          <t>Вариант для: РКИОК</t>
        </is>
      </c>
      <c r="B1257" s="21" t="n"/>
      <c r="C1257" s="21" t="n"/>
      <c r="D1257" s="21" t="n"/>
      <c r="E1257" s="21" t="n"/>
      <c r="F1257" s="21" t="n"/>
      <c r="G1257" s="21" t="n"/>
    </row>
    <row r="1258" ht="48" customHeight="1">
      <c r="A1258" s="22" t="inlineStr">
        <is>
          <t>Понятие детектирования, его цели и виды. Принципы работы сигнатурного детектирования. Принципы работы поведенческого детектирования. Сравнение двух подходов. Комбинирование обоих подходов.</t>
        </is>
      </c>
      <c r="B1258" s="2" t="n"/>
      <c r="C1258" s="2" t="n"/>
      <c r="D1258" s="2" t="n"/>
      <c r="E1258" s="2" t="n"/>
      <c r="F1258" s="2" t="n"/>
      <c r="G1258" s="2" t="n"/>
    </row>
    <row r="1259" ht="51" customHeight="1">
      <c r="A1259" s="3" t="inlineStr">
        <is>
          <t>РКИОК — Реагирование на киберинциденты и отражение кибератак
Раздел: Угрозы информационной безопасности · УТП: таблица 2, строка 7</t>
        </is>
      </c>
      <c r="B1259" s="4" t="n"/>
      <c r="C1259" s="4" t="n"/>
      <c r="D1259" s="4" t="n"/>
      <c r="E1259" s="4" t="n"/>
      <c r="F1259" s="4" t="n"/>
      <c r="G1259" s="4" t="n"/>
    </row>
    <row r="1260" ht="30" customHeight="1">
      <c r="A1260" s="3" t="inlineStr">
        <is>
          <t>В программе: Тема 2. Методы анализа и детектирования: сигнатурный и поведенческий подходы (2 часа лекции).</t>
        </is>
      </c>
      <c r="B1260" s="4" t="n"/>
      <c r="C1260" s="4" t="n"/>
      <c r="D1260" s="4" t="n"/>
      <c r="E1260" s="4" t="n"/>
      <c r="F1260" s="4" t="n"/>
      <c r="G1260" s="4" t="n"/>
    </row>
    <row r="1261" ht="25" customHeight="1">
      <c r="A1261" s="23" t="inlineStr">
        <is>
          <t>Исходная программа РКИОК ↗</t>
        </is>
      </c>
      <c r="D1261" s="23" t="inlineStr">
        <is>
          <t>Исходный УТП РКИОК ↗</t>
        </is>
      </c>
    </row>
    <row r="1262" ht="27" customHeight="1">
      <c r="A1262" s="24">
        <f>HYPERLINK("#'Выбор тем'!E"&amp;MATCH("T-8FE53C14",'Выбор тем'!$A:$A,0),"← Вернуться к теме")</f>
        <v/>
      </c>
    </row>
    <row r="1264" ht="38" customHeight="1">
      <c r="A1264" s="18" t="inlineStr">
        <is>
          <t>Методы аутентификации в протоколах маршрутизации</t>
        </is>
      </c>
      <c r="B1264" s="19" t="n"/>
      <c r="C1264" s="19" t="n"/>
      <c r="D1264" s="19" t="n"/>
      <c r="E1264" s="19" t="n"/>
      <c r="F1264" s="19" t="n"/>
      <c r="G1264" s="19" t="n"/>
    </row>
    <row r="1265" ht="26" customHeight="1">
      <c r="A1265" s="3" t="inlineStr">
        <is>
          <t>T-E11AECCB · Программы: ТК</t>
        </is>
      </c>
      <c r="B1265" s="4" t="n"/>
      <c r="C1265" s="4" t="n"/>
      <c r="D1265" s="4" t="n"/>
      <c r="E1265" s="4" t="n"/>
      <c r="F1265" s="4" t="n"/>
      <c r="G1265" s="4" t="n"/>
    </row>
    <row r="1266" ht="27" customHeight="1">
      <c r="A1266" s="20" t="inlineStr">
        <is>
          <t>Вариант для: ТК</t>
        </is>
      </c>
      <c r="B1266" s="21" t="n"/>
      <c r="C1266" s="21" t="n"/>
      <c r="D1266" s="21" t="n"/>
      <c r="E1266" s="21" t="n"/>
      <c r="F1266" s="21" t="n"/>
      <c r="G1266" s="21" t="n"/>
    </row>
    <row r="1267" ht="32" customHeight="1">
      <c r="A1267" s="22" t="inlineStr">
        <is>
          <t>Назначение аутентификации на маршрутизаторах глобальной сети. Типы аутентификации протоколов EIGRP, OSPF, BGP. Процесс аутентификации.</t>
        </is>
      </c>
      <c r="B1267" s="2" t="n"/>
      <c r="C1267" s="2" t="n"/>
      <c r="D1267" s="2" t="n"/>
      <c r="E1267" s="2" t="n"/>
      <c r="F1267" s="2" t="n"/>
      <c r="G1267" s="2" t="n"/>
    </row>
    <row r="1268" ht="51" customHeight="1">
      <c r="A1268"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17</t>
        </is>
      </c>
      <c r="B1268" s="4" t="n"/>
      <c r="C1268" s="4" t="n"/>
      <c r="D1268" s="4" t="n"/>
      <c r="E1268" s="4" t="n"/>
      <c r="F1268" s="4" t="n"/>
      <c r="G1268" s="4" t="n"/>
    </row>
    <row r="1269" ht="30" customHeight="1">
      <c r="A1269" s="3" t="inlineStr">
        <is>
          <t>В программе: Тема 5. Методы аутентификации в протоколах маршрутизации (2 часа лабораторные занятия).</t>
        </is>
      </c>
      <c r="B1269" s="4" t="n"/>
      <c r="C1269" s="4" t="n"/>
      <c r="D1269" s="4" t="n"/>
      <c r="E1269" s="4" t="n"/>
      <c r="F1269" s="4" t="n"/>
      <c r="G1269" s="4" t="n"/>
    </row>
    <row r="1270" ht="25" customHeight="1">
      <c r="A1270" s="23" t="inlineStr">
        <is>
          <t>Исходная программа ТК ↗</t>
        </is>
      </c>
      <c r="D1270" s="23" t="inlineStr">
        <is>
          <t>Исходный УТП ТК ↗</t>
        </is>
      </c>
    </row>
    <row r="1271" ht="27" customHeight="1">
      <c r="A1271" s="24">
        <f>HYPERLINK("#'Выбор тем'!E"&amp;MATCH("T-E11AECCB",'Выбор тем'!$A:$A,0),"← Вернуться к теме")</f>
        <v/>
      </c>
    </row>
    <row r="1273" ht="48" customHeight="1">
      <c r="A1273" s="18" t="inlineStr">
        <is>
          <t>Методы защиты информации: шифрование, резервирование и резервное копирование, контроль доступа, мониторинг. Уровни надёжности</t>
        </is>
      </c>
      <c r="B1273" s="19" t="n"/>
      <c r="C1273" s="19" t="n"/>
      <c r="D1273" s="19" t="n"/>
      <c r="E1273" s="19" t="n"/>
      <c r="F1273" s="19" t="n"/>
      <c r="G1273" s="19" t="n"/>
    </row>
    <row r="1274" ht="26" customHeight="1">
      <c r="A1274" s="3" t="inlineStr">
        <is>
          <t>T-1E00E341 · Программы: ОКБО</t>
        </is>
      </c>
      <c r="B1274" s="4" t="n"/>
      <c r="C1274" s="4" t="n"/>
      <c r="D1274" s="4" t="n"/>
      <c r="E1274" s="4" t="n"/>
      <c r="F1274" s="4" t="n"/>
      <c r="G1274" s="4" t="n"/>
    </row>
    <row r="1275" ht="27" customHeight="1">
      <c r="A1275" s="20" t="inlineStr">
        <is>
          <t>Вариант для: ОКБО</t>
        </is>
      </c>
      <c r="B1275" s="21" t="n"/>
      <c r="C1275" s="21" t="n"/>
      <c r="D1275" s="21" t="n"/>
      <c r="E1275" s="21" t="n"/>
      <c r="F1275" s="21" t="n"/>
      <c r="G1275" s="21" t="n"/>
    </row>
    <row r="1276" ht="48" customHeight="1">
      <c r="A1276" s="22" t="inlineStr">
        <is>
          <t>Симметричное/асимметричное шифрование, управление ключами, инфраструктура открытых ключей PKI, шифрование данных в покое и в движении. Резервирование и резервное копирование. Атаки на учетные записи, контроль доступа, мониторинг. Уровни надёжности и устойчивость к инцидентам.</t>
        </is>
      </c>
      <c r="B1276" s="2" t="n"/>
      <c r="C1276" s="2" t="n"/>
      <c r="D1276" s="2" t="n"/>
      <c r="E1276" s="2" t="n"/>
      <c r="F1276" s="2" t="n"/>
      <c r="G1276" s="2" t="n"/>
    </row>
    <row r="1277" ht="51" customHeight="1">
      <c r="A1277" s="3" t="inlineStr">
        <is>
          <t>ОКБО — Обеспечение кибербезопасности организаций
Раздел: Введение в кибербезопасность · УТП: таблица 2, строка 12</t>
        </is>
      </c>
      <c r="B1277" s="4" t="n"/>
      <c r="C1277" s="4" t="n"/>
      <c r="D1277" s="4" t="n"/>
      <c r="E1277" s="4" t="n"/>
      <c r="F1277" s="4" t="n"/>
      <c r="G1277" s="4" t="n"/>
    </row>
    <row r="1278" ht="30" customHeight="1">
      <c r="A1278" s="3" t="inlineStr">
        <is>
          <t>В программе: Тема 3. Методы защиты информации: шифрование, резервирование и резервное копирование, контроль доступа, мониторинг. Уровни надёжности (2 часа лекции).</t>
        </is>
      </c>
      <c r="B1278" s="4" t="n"/>
      <c r="C1278" s="4" t="n"/>
      <c r="D1278" s="4" t="n"/>
      <c r="E1278" s="4" t="n"/>
      <c r="F1278" s="4" t="n"/>
      <c r="G1278" s="4" t="n"/>
    </row>
    <row r="1279" ht="25" customHeight="1">
      <c r="A1279" s="23" t="inlineStr">
        <is>
          <t>Исходная программа ОКБО ↗</t>
        </is>
      </c>
      <c r="D1279" s="23" t="inlineStr">
        <is>
          <t>Исходный УТП ОКБО ↗</t>
        </is>
      </c>
    </row>
    <row r="1280" ht="27" customHeight="1">
      <c r="A1280" s="24">
        <f>HYPERLINK("#'Выбор тем'!E"&amp;MATCH("T-1E00E341",'Выбор тем'!$A:$A,0),"← Вернуться к теме")</f>
        <v/>
      </c>
    </row>
    <row r="1282" ht="38" customHeight="1">
      <c r="A1282" s="18" t="inlineStr">
        <is>
          <t>Методы обнаружения и предотвращения вторжений</t>
        </is>
      </c>
      <c r="B1282" s="19" t="n"/>
      <c r="C1282" s="19" t="n"/>
      <c r="D1282" s="19" t="n"/>
      <c r="E1282" s="19" t="n"/>
      <c r="F1282" s="19" t="n"/>
      <c r="G1282" s="19" t="n"/>
    </row>
    <row r="1283" ht="26" customHeight="1">
      <c r="A1283" s="3" t="inlineStr">
        <is>
          <t>T-9D43E6E4 · Программы: РКИОК</t>
        </is>
      </c>
      <c r="B1283" s="4" t="n"/>
      <c r="C1283" s="4" t="n"/>
      <c r="D1283" s="4" t="n"/>
      <c r="E1283" s="4" t="n"/>
      <c r="F1283" s="4" t="n"/>
      <c r="G1283" s="4" t="n"/>
    </row>
    <row r="1284" ht="27" customHeight="1">
      <c r="A1284" s="20" t="inlineStr">
        <is>
          <t>Вариант для: РКИОК</t>
        </is>
      </c>
      <c r="B1284" s="21" t="n"/>
      <c r="C1284" s="21" t="n"/>
      <c r="D1284" s="21" t="n"/>
      <c r="E1284" s="21" t="n"/>
      <c r="F1284" s="21" t="n"/>
      <c r="G1284" s="21" t="n"/>
    </row>
    <row r="1285" ht="48" customHeight="1">
      <c r="A1285" s="22" t="inlineStr">
        <is>
          <t>Сетевые и хостовые средства контроля: датчики, агенты, сбор журналов. Идентификация атак: сигнатурный, поведенческий, гибридный подход. Превентивные меры: фильтрация трафика, реакция на события.</t>
        </is>
      </c>
      <c r="B1285" s="2" t="n"/>
      <c r="C1285" s="2" t="n"/>
      <c r="D1285" s="2" t="n"/>
      <c r="E1285" s="2" t="n"/>
      <c r="F1285" s="2" t="n"/>
      <c r="G1285" s="2" t="n"/>
    </row>
    <row r="1286" ht="51" customHeight="1">
      <c r="A1286" s="3" t="inlineStr">
        <is>
          <t>РКИОК — Реагирование на киберинциденты и отражение кибератак
Раздел: Сбор данных и предотвращение атак · УТП: таблица 2, строка 15</t>
        </is>
      </c>
      <c r="B1286" s="4" t="n"/>
      <c r="C1286" s="4" t="n"/>
      <c r="D1286" s="4" t="n"/>
      <c r="E1286" s="4" t="n"/>
      <c r="F1286" s="4" t="n"/>
      <c r="G1286" s="4" t="n"/>
    </row>
    <row r="1287" ht="30" customHeight="1">
      <c r="A1287" s="3" t="inlineStr">
        <is>
          <t>В программе: Тема 1. Методы обнаружения и предотвращения вторжений (2 часа лекции).</t>
        </is>
      </c>
      <c r="B1287" s="4" t="n"/>
      <c r="C1287" s="4" t="n"/>
      <c r="D1287" s="4" t="n"/>
      <c r="E1287" s="4" t="n"/>
      <c r="F1287" s="4" t="n"/>
      <c r="G1287" s="4" t="n"/>
    </row>
    <row r="1288" ht="25" customHeight="1">
      <c r="A1288" s="23" t="inlineStr">
        <is>
          <t>Исходная программа РКИОК ↗</t>
        </is>
      </c>
      <c r="D1288" s="23" t="inlineStr">
        <is>
          <t>Исходный УТП РКИОК ↗</t>
        </is>
      </c>
    </row>
    <row r="1289" ht="27" customHeight="1">
      <c r="A1289" s="24">
        <f>HYPERLINK("#'Выбор тем'!E"&amp;MATCH("T-9D43E6E4",'Выбор тем'!$A:$A,0),"← Вернуться к теме")</f>
        <v/>
      </c>
    </row>
    <row r="1291" ht="38" customHeight="1">
      <c r="A1291" s="18" t="inlineStr">
        <is>
          <t>Метрики и оценка моделей</t>
        </is>
      </c>
      <c r="B1291" s="19" t="n"/>
      <c r="C1291" s="19" t="n"/>
      <c r="D1291" s="19" t="n"/>
      <c r="E1291" s="19" t="n"/>
      <c r="F1291" s="19" t="n"/>
      <c r="G1291" s="19" t="n"/>
    </row>
    <row r="1292" ht="26" customHeight="1">
      <c r="A1292" s="3" t="inlineStr">
        <is>
          <t>T-E2649F7C · Программы: ПТИИМ</t>
        </is>
      </c>
      <c r="B1292" s="4" t="n"/>
      <c r="C1292" s="4" t="n"/>
      <c r="D1292" s="4" t="n"/>
      <c r="E1292" s="4" t="n"/>
      <c r="F1292" s="4" t="n"/>
      <c r="G1292" s="4" t="n"/>
    </row>
    <row r="1293" ht="27" customHeight="1">
      <c r="A1293" s="20" t="inlineStr">
        <is>
          <t>Вариант для: ПТИИМ</t>
        </is>
      </c>
      <c r="B1293" s="21" t="n"/>
      <c r="C1293" s="21" t="n"/>
      <c r="D1293" s="21" t="n"/>
      <c r="E1293" s="21" t="n"/>
      <c r="F1293" s="21" t="n"/>
      <c r="G1293" s="21" t="n"/>
    </row>
    <row r="1294" ht="32" customHeight="1">
      <c r="A1294" s="22" t="inlineStr">
        <is>
          <t>Назначение оценки качества моделей машинного обучения. Выбор метрик с учетом типа решаемой задачи и практической значимости результатов.</t>
        </is>
      </c>
      <c r="B1294" s="2" t="n"/>
      <c r="C1294" s="2" t="n"/>
      <c r="D1294" s="2" t="n"/>
      <c r="E1294" s="2" t="n"/>
      <c r="F1294" s="2" t="n"/>
      <c r="G1294" s="2" t="n"/>
    </row>
    <row r="1295" ht="48" customHeight="1">
      <c r="A1295" s="22" t="inlineStr">
        <is>
          <t>Основные метрики классификации: доля правильных ответов (accuracy), точность (precision), полнота (recall) и F1-мера. Особенности интерпретации значений метрик.</t>
        </is>
      </c>
      <c r="B1295" s="2" t="n"/>
      <c r="C1295" s="2" t="n"/>
      <c r="D1295" s="2" t="n"/>
      <c r="E1295" s="2" t="n"/>
      <c r="F1295" s="2" t="n"/>
      <c r="G1295" s="2" t="n"/>
    </row>
    <row r="1296" ht="48" customHeight="1">
      <c r="A1296" s="22" t="inlineStr">
        <is>
          <t>Матрица ошибок и ее использование для анализа результатов классификации. Истинно положительные, истинно отрицательные, ложноположительные и ложноотрицательные результаты.</t>
        </is>
      </c>
      <c r="B1296" s="2" t="n"/>
      <c r="C1296" s="2" t="n"/>
      <c r="D1296" s="2" t="n"/>
      <c r="E1296" s="2" t="n"/>
      <c r="F1296" s="2" t="n"/>
      <c r="G1296" s="2" t="n"/>
    </row>
    <row r="1297" ht="32" customHeight="1">
      <c r="A1297" s="22" t="inlineStr">
        <is>
          <t>Анализ ошибок модели, определение причин ошибочных решений и выявление направлений совершенствования модели.</t>
        </is>
      </c>
      <c r="B1297" s="2" t="n"/>
      <c r="C1297" s="2" t="n"/>
      <c r="D1297" s="2" t="n"/>
      <c r="E1297" s="2" t="n"/>
      <c r="F1297" s="2" t="n"/>
      <c r="G1297" s="2" t="n"/>
    </row>
    <row r="1298" ht="48" customHeight="1">
      <c r="A1298" s="22" t="inlineStr">
        <is>
          <t>ROC-кривая и PR-кривая как инструменты оценки качества классификации при различных пороговых значениях. Метрики ROC-AUC и PR-AUC, особенности их применения.</t>
        </is>
      </c>
      <c r="B1298" s="2" t="n"/>
      <c r="C1298" s="2" t="n"/>
      <c r="D1298" s="2" t="n"/>
      <c r="E1298" s="2" t="n"/>
      <c r="F1298" s="2" t="n"/>
      <c r="G1298" s="2" t="n"/>
    </row>
    <row r="1299" ht="32" customHeight="1">
      <c r="A1299" s="22" t="inlineStr">
        <is>
          <t>Разделение данных на обучающую и тестовую выборки. Кросс-валидация как способ получения более устойчивой оценки качества модели.</t>
        </is>
      </c>
      <c r="B1299" s="2" t="n"/>
      <c r="C1299" s="2" t="n"/>
      <c r="D1299" s="2" t="n"/>
      <c r="E1299" s="2" t="n"/>
      <c r="F1299" s="2" t="n"/>
      <c r="G1299" s="2" t="n"/>
    </row>
    <row r="1300" ht="48" customHeight="1">
      <c r="A1300" s="22" t="inlineStr">
        <is>
          <t>Специфика оценки моделей, применяемых в ИБ. Работа с дисбалансом классов и редкими событиями. Учет стоимости ложноположительных и ложноотрицательных решений.</t>
        </is>
      </c>
      <c r="B1300" s="2" t="n"/>
      <c r="C1300" s="2" t="n"/>
      <c r="D1300" s="2" t="n"/>
      <c r="E1300" s="2" t="n"/>
      <c r="F1300" s="2" t="n"/>
      <c r="G1300" s="2" t="n"/>
    </row>
    <row r="1301" ht="51" customHeight="1">
      <c r="A1301"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12</t>
        </is>
      </c>
      <c r="B1301" s="4" t="n"/>
      <c r="C1301" s="4" t="n"/>
      <c r="D1301" s="4" t="n"/>
      <c r="E1301" s="4" t="n"/>
      <c r="F1301" s="4" t="n"/>
      <c r="G1301" s="4" t="n"/>
    </row>
    <row r="1302" ht="30" customHeight="1">
      <c r="A1302" s="3" t="inlineStr">
        <is>
          <t>В программе: Тема 2. Метрики и оценка моделей (4 часа лекции).</t>
        </is>
      </c>
      <c r="B1302" s="4" t="n"/>
      <c r="C1302" s="4" t="n"/>
      <c r="D1302" s="4" t="n"/>
      <c r="E1302" s="4" t="n"/>
      <c r="F1302" s="4" t="n"/>
      <c r="G1302" s="4" t="n"/>
    </row>
    <row r="1303" ht="25" customHeight="1">
      <c r="A1303" s="23" t="inlineStr">
        <is>
          <t>Исходная программа ПТИИМ ↗</t>
        </is>
      </c>
      <c r="D1303" s="23" t="inlineStr">
        <is>
          <t>Исходный УТП ПТИИМ ↗</t>
        </is>
      </c>
    </row>
    <row r="1304" ht="27" customHeight="1">
      <c r="A1304" s="24">
        <f>HYPERLINK("#'Выбор тем'!E"&amp;MATCH("T-E2649F7C",'Выбор тем'!$A:$A,0),"← Вернуться к теме")</f>
        <v/>
      </c>
    </row>
    <row r="1306" ht="38" customHeight="1">
      <c r="A1306" s="18" t="inlineStr">
        <is>
          <t>Механизм реализации пилотного проекта в сфере цифрового развития</t>
        </is>
      </c>
      <c r="B1306" s="19" t="n"/>
      <c r="C1306" s="19" t="n"/>
      <c r="D1306" s="19" t="n"/>
      <c r="E1306" s="19" t="n"/>
      <c r="F1306" s="19" t="n"/>
      <c r="G1306" s="19" t="n"/>
    </row>
    <row r="1307" ht="26" customHeight="1">
      <c r="A1307" s="3" t="inlineStr">
        <is>
          <t>T-E2C96B54 · Программы: ЦТГУ</t>
        </is>
      </c>
      <c r="B1307" s="4" t="n"/>
      <c r="C1307" s="4" t="n"/>
      <c r="D1307" s="4" t="n"/>
      <c r="E1307" s="4" t="n"/>
      <c r="F1307" s="4" t="n"/>
      <c r="G1307" s="4" t="n"/>
    </row>
    <row r="1308" ht="27" customHeight="1">
      <c r="A1308" s="20" t="inlineStr">
        <is>
          <t>Вариант для: ЦТГУ</t>
        </is>
      </c>
      <c r="B1308" s="21" t="n"/>
      <c r="C1308" s="21" t="n"/>
      <c r="D1308" s="21" t="n"/>
      <c r="E1308" s="21" t="n"/>
      <c r="F1308" s="21" t="n"/>
      <c r="G1308" s="21" t="n"/>
    </row>
    <row r="1309" ht="112" customHeight="1">
      <c r="A1309" s="22" t="inlineStr">
        <is>
          <t>Инициирование реализации пилотного проекта в сфере цифрового развития. Рассмотрение заявки на реализацию пилотного проекта в сфере цифрового развития и прилагаемых к ней документов. Экспертиза пилотного проекта в сфере цифрового развития. Принятие решения о целесообразности или нецелесообразности реализации пилотного проекта в сфере цифрового развития, необходимости доработки заявки на реализацию пилотного проекта в сфере цифрового развития и прилагаемых к ней документов. Проведение повторной экспертизы либо реализация пилотного проекта в сфере цифрового развития. Мониторинг и оценка эффективности реализации пилотного проекта в сфере цифрового развития. Принятие решения об успешности пилотного проекта в сфере цифрового развития и возможности его масштабирования. Масштабирование результатов пилотного проекта в сфере цифрового развития.</t>
        </is>
      </c>
      <c r="B1309" s="2" t="n"/>
      <c r="C1309" s="2" t="n"/>
      <c r="D1309" s="2" t="n"/>
      <c r="E1309" s="2" t="n"/>
      <c r="F1309" s="2" t="n"/>
      <c r="G1309" s="2" t="n"/>
    </row>
    <row r="1310" ht="51" customHeight="1">
      <c r="A1310" s="3" t="inlineStr">
        <is>
          <t>ЦТГУ — Цифровая трансформация государственного управления
Раздел: Пилотный проект в сфере цифрового развития как способ реализации цифровой трансформации государственного управления · УТП: таблица 2, строка 25</t>
        </is>
      </c>
      <c r="B1310" s="4" t="n"/>
      <c r="C1310" s="4" t="n"/>
      <c r="D1310" s="4" t="n"/>
      <c r="E1310" s="4" t="n"/>
      <c r="F1310" s="4" t="n"/>
      <c r="G1310" s="4" t="n"/>
    </row>
    <row r="1311" ht="30" customHeight="1">
      <c r="A1311" s="3" t="inlineStr">
        <is>
          <t>В программе: Тема 2. Механизм реализации пилотного проекта в сфере цифрового развития (2 часа семинарские занятия).</t>
        </is>
      </c>
      <c r="B1311" s="4" t="n"/>
      <c r="C1311" s="4" t="n"/>
      <c r="D1311" s="4" t="n"/>
      <c r="E1311" s="4" t="n"/>
      <c r="F1311" s="4" t="n"/>
      <c r="G1311" s="4" t="n"/>
    </row>
    <row r="1312" ht="25" customHeight="1">
      <c r="A1312" s="23" t="inlineStr">
        <is>
          <t>Исходная программа ЦТГУ ↗</t>
        </is>
      </c>
      <c r="D1312" s="23" t="inlineStr">
        <is>
          <t>Исходный УТП ЦТГУ ↗</t>
        </is>
      </c>
    </row>
    <row r="1313" ht="27" customHeight="1">
      <c r="A1313" s="24">
        <f>HYPERLINK("#'Выбор тем'!E"&amp;MATCH("T-E2C96B54",'Выбор тем'!$A:$A,0),"← Вернуться к теме")</f>
        <v/>
      </c>
    </row>
    <row r="1315" ht="38" customHeight="1">
      <c r="A1315" s="18" t="inlineStr">
        <is>
          <t>Модели контроля доступа: DAC, MAC, RBAC, ABAC</t>
        </is>
      </c>
      <c r="B1315" s="19" t="n"/>
      <c r="C1315" s="19" t="n"/>
      <c r="D1315" s="19" t="n"/>
      <c r="E1315" s="19" t="n"/>
      <c r="F1315" s="19" t="n"/>
      <c r="G1315" s="19" t="n"/>
    </row>
    <row r="1316" ht="26" customHeight="1">
      <c r="A1316" s="3" t="inlineStr">
        <is>
          <t>T-FDECDBBE · Программы: ОКБО</t>
        </is>
      </c>
      <c r="B1316" s="4" t="n"/>
      <c r="C1316" s="4" t="n"/>
      <c r="D1316" s="4" t="n"/>
      <c r="E1316" s="4" t="n"/>
      <c r="F1316" s="4" t="n"/>
      <c r="G1316" s="4" t="n"/>
    </row>
    <row r="1317" ht="27" customHeight="1">
      <c r="A1317" s="20" t="inlineStr">
        <is>
          <t>Вариант для: ОКБО</t>
        </is>
      </c>
      <c r="B1317" s="21" t="n"/>
      <c r="C1317" s="21" t="n"/>
      <c r="D1317" s="21" t="n"/>
      <c r="E1317" s="21" t="n"/>
      <c r="F1317" s="21" t="n"/>
      <c r="G1317" s="21" t="n"/>
    </row>
    <row r="1318" ht="64" customHeight="1">
      <c r="A1318" s="22" t="inlineStr">
        <is>
          <t>Понятие контроля доступа и его роль в обеспечении безопасности. Разбор моделей контроля доступа: принципы работы, роли, метки, атрибуты, правила принятия решений. Сравнение моделей между собой. Примеры применения моделей в операционных системах (далее – ОС), информационных системах (далее – ИС) и т.д.</t>
        </is>
      </c>
      <c r="B1318" s="2" t="n"/>
      <c r="C1318" s="2" t="n"/>
      <c r="D1318" s="2" t="n"/>
      <c r="E1318" s="2" t="n"/>
      <c r="F1318" s="2" t="n"/>
      <c r="G1318" s="2" t="n"/>
    </row>
    <row r="1319" ht="51" customHeight="1">
      <c r="A1319" s="3" t="inlineStr">
        <is>
          <t>ОКБО — Обеспечение кибербезопасности организаций
Раздел: Управление доступом и аутентификация · УТП: таблица 2, строка 23</t>
        </is>
      </c>
      <c r="B1319" s="4" t="n"/>
      <c r="C1319" s="4" t="n"/>
      <c r="D1319" s="4" t="n"/>
      <c r="E1319" s="4" t="n"/>
      <c r="F1319" s="4" t="n"/>
      <c r="G1319" s="4" t="n"/>
    </row>
    <row r="1320" ht="30" customHeight="1">
      <c r="A1320" s="3" t="inlineStr">
        <is>
          <t>В программе: Тема 1. Модели контроля доступа: DAC, MAC, RBAC, ABAC (1 час лекции).</t>
        </is>
      </c>
      <c r="B1320" s="4" t="n"/>
      <c r="C1320" s="4" t="n"/>
      <c r="D1320" s="4" t="n"/>
      <c r="E1320" s="4" t="n"/>
      <c r="F1320" s="4" t="n"/>
      <c r="G1320" s="4" t="n"/>
    </row>
    <row r="1321" ht="25" customHeight="1">
      <c r="A1321" s="23" t="inlineStr">
        <is>
          <t>Исходная программа ОКБО ↗</t>
        </is>
      </c>
      <c r="D1321" s="23" t="inlineStr">
        <is>
          <t>Исходный УТП ОКБО ↗</t>
        </is>
      </c>
    </row>
    <row r="1322" ht="27" customHeight="1">
      <c r="A1322" s="24">
        <f>HYPERLINK("#'Выбор тем'!E"&amp;MATCH("T-FDECDBBE",'Выбор тем'!$A:$A,0),"← Вернуться к теме")</f>
        <v/>
      </c>
    </row>
    <row r="1324" ht="38" customHeight="1">
      <c r="A1324" s="18" t="inlineStr">
        <is>
          <t>Модели управления цифровой трансформацией в государственном органе (организации)</t>
        </is>
      </c>
      <c r="B1324" s="19" t="n"/>
      <c r="C1324" s="19" t="n"/>
      <c r="D1324" s="19" t="n"/>
      <c r="E1324" s="19" t="n"/>
      <c r="F1324" s="19" t="n"/>
      <c r="G1324" s="19" t="n"/>
    </row>
    <row r="1325" ht="26" customHeight="1">
      <c r="A1325" s="3" t="inlineStr">
        <is>
          <t>T-7A1BD398 · Программы: ЦТГУ</t>
        </is>
      </c>
      <c r="B1325" s="4" t="n"/>
      <c r="C1325" s="4" t="n"/>
      <c r="D1325" s="4" t="n"/>
      <c r="E1325" s="4" t="n"/>
      <c r="F1325" s="4" t="n"/>
      <c r="G1325" s="4" t="n"/>
    </row>
    <row r="1326" ht="27" customHeight="1">
      <c r="A1326" s="20" t="inlineStr">
        <is>
          <t>Вариант для: ЦТГУ</t>
        </is>
      </c>
      <c r="B1326" s="21" t="n"/>
      <c r="C1326" s="21" t="n"/>
      <c r="D1326" s="21" t="n"/>
      <c r="E1326" s="21" t="n"/>
      <c r="F1326" s="21" t="n"/>
      <c r="G1326" s="21" t="n"/>
    </row>
    <row r="1327" ht="48" customHeight="1">
      <c r="A1327" s="22" t="inlineStr">
        <is>
          <t>Управленческий цикл трансформации. Постановка целей и ключевые показатели эффективности (далее – КПЭ). Формирование портфеля инициатив. Управление изменениями и взаимодействие с владельцами процессов, данных с ИТ-функцией.</t>
        </is>
      </c>
      <c r="B1327" s="2" t="n"/>
      <c r="C1327" s="2" t="n"/>
      <c r="D1327" s="2" t="n"/>
      <c r="E1327" s="2" t="n"/>
      <c r="F1327" s="2" t="n"/>
      <c r="G1327" s="2" t="n"/>
    </row>
    <row r="1328" ht="51" customHeight="1">
      <c r="A1328"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19</t>
        </is>
      </c>
      <c r="B1328" s="4" t="n"/>
      <c r="C1328" s="4" t="n"/>
      <c r="D1328" s="4" t="n"/>
      <c r="E1328" s="4" t="n"/>
      <c r="F1328" s="4" t="n"/>
      <c r="G1328" s="4" t="n"/>
    </row>
    <row r="1329" ht="30" customHeight="1">
      <c r="A1329" s="3" t="inlineStr">
        <is>
          <t>В программе: Тема 1. Модели управления цифровой трансформацией в государственном органе (организации) (2 часа лекции).</t>
        </is>
      </c>
      <c r="B1329" s="4" t="n"/>
      <c r="C1329" s="4" t="n"/>
      <c r="D1329" s="4" t="n"/>
      <c r="E1329" s="4" t="n"/>
      <c r="F1329" s="4" t="n"/>
      <c r="G1329" s="4" t="n"/>
    </row>
    <row r="1330" ht="25" customHeight="1">
      <c r="A1330" s="23" t="inlineStr">
        <is>
          <t>Исходная программа ЦТГУ ↗</t>
        </is>
      </c>
      <c r="D1330" s="23" t="inlineStr">
        <is>
          <t>Исходный УТП ЦТГУ ↗</t>
        </is>
      </c>
    </row>
    <row r="1331" ht="27" customHeight="1">
      <c r="A1331" s="24">
        <f>HYPERLINK("#'Выбор тем'!E"&amp;MATCH("T-7A1BD398",'Выбор тем'!$A:$A,0),"← Вернуться к теме")</f>
        <v/>
      </c>
    </row>
    <row r="1333" ht="38" customHeight="1">
      <c r="A1333" s="18" t="inlineStr">
        <is>
          <t>Модель OSI и стек TCP/IP в современной компьютерной сети</t>
        </is>
      </c>
      <c r="B1333" s="19" t="n"/>
      <c r="C1333" s="19" t="n"/>
      <c r="D1333" s="19" t="n"/>
      <c r="E1333" s="19" t="n"/>
      <c r="F1333" s="19" t="n"/>
      <c r="G1333" s="19" t="n"/>
    </row>
    <row r="1334" ht="26" customHeight="1">
      <c r="A1334" s="3" t="inlineStr">
        <is>
          <t>T-7F4356F8 · Программы: ОПКС</t>
        </is>
      </c>
      <c r="B1334" s="4" t="n"/>
      <c r="C1334" s="4" t="n"/>
      <c r="D1334" s="4" t="n"/>
      <c r="E1334" s="4" t="n"/>
      <c r="F1334" s="4" t="n"/>
      <c r="G1334" s="4" t="n"/>
    </row>
    <row r="1335" ht="27" customHeight="1">
      <c r="A1335" s="20" t="inlineStr">
        <is>
          <t>Вариант для: ОПКС</t>
        </is>
      </c>
      <c r="B1335" s="21" t="n"/>
      <c r="C1335" s="21" t="n"/>
      <c r="D1335" s="21" t="n"/>
      <c r="E1335" s="21" t="n"/>
      <c r="F1335" s="21" t="n"/>
      <c r="G1335" s="21" t="n"/>
    </row>
    <row r="1336" ht="80" customHeight="1">
      <c r="A1336" s="22" t="inlineStr">
        <is>
          <t>Базовая модель взаимодействия открытых систем OSI. Назначение уровней модели OSI. Сравнение модели OSI и стека протоколов TCP/IP. Распределение протоколов передачи данных по уровням модели OSI. Процесс инкапсуляции и деинкапсуляции данных. Структура стандартов IEEE 802.x. Структура и назначение MAC-адреса. Форматы кадров технологии Ethernet. Технология Fast Ethernet, Gigabit Ethernet. Протоколы ARP, RARP, ProxyARP. Протокол ICMP (утилиты traceroute, ping).</t>
        </is>
      </c>
      <c r="B1336" s="2" t="n"/>
      <c r="C1336" s="2" t="n"/>
      <c r="D1336" s="2" t="n"/>
      <c r="E1336" s="2" t="n"/>
      <c r="F1336" s="2" t="n"/>
      <c r="G1336" s="2" t="n"/>
    </row>
    <row r="1337" ht="51" customHeight="1">
      <c r="A1337"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13</t>
        </is>
      </c>
      <c r="B1337" s="4" t="n"/>
      <c r="C1337" s="4" t="n"/>
      <c r="D1337" s="4" t="n"/>
      <c r="E1337" s="4" t="n"/>
      <c r="F1337" s="4" t="n"/>
      <c r="G1337" s="4" t="n"/>
    </row>
    <row r="1338" ht="30" customHeight="1">
      <c r="A1338" s="3" t="inlineStr">
        <is>
          <t>В программе: Тема 8. Модель OSI и стек TCP/IP в современной компьютерной сети (2 часа лекции).</t>
        </is>
      </c>
      <c r="B1338" s="4" t="n"/>
      <c r="C1338" s="4" t="n"/>
      <c r="D1338" s="4" t="n"/>
      <c r="E1338" s="4" t="n"/>
      <c r="F1338" s="4" t="n"/>
      <c r="G1338" s="4" t="n"/>
    </row>
    <row r="1339" ht="25" customHeight="1">
      <c r="A1339" s="23" t="inlineStr">
        <is>
          <t>Исходная программа ОПКС ↗</t>
        </is>
      </c>
      <c r="D1339" s="23" t="inlineStr">
        <is>
          <t>Исходный УТП ОПКС ↗</t>
        </is>
      </c>
    </row>
    <row r="1340" ht="27" customHeight="1">
      <c r="A1340" s="24">
        <f>HYPERLINK("#'Выбор тем'!E"&amp;MATCH("T-7F4356F8",'Выбор тем'!$A:$A,0),"← Вернуться к теме")</f>
        <v/>
      </c>
    </row>
    <row r="1342" ht="38" customHeight="1">
      <c r="A1342" s="18" t="inlineStr">
        <is>
          <t>Модель нарушителя Cyber Kill Chain</t>
        </is>
      </c>
      <c r="B1342" s="19" t="n"/>
      <c r="C1342" s="19" t="n"/>
      <c r="D1342" s="19" t="n"/>
      <c r="E1342" s="19" t="n"/>
      <c r="F1342" s="19" t="n"/>
      <c r="G1342" s="19" t="n"/>
    </row>
    <row r="1343" ht="26" customHeight="1">
      <c r="A1343" s="3" t="inlineStr">
        <is>
          <t>T-AB3E3C19 · Программы: ПСАЭ</t>
        </is>
      </c>
      <c r="B1343" s="4" t="n"/>
      <c r="C1343" s="4" t="n"/>
      <c r="D1343" s="4" t="n"/>
      <c r="E1343" s="4" t="n"/>
      <c r="F1343" s="4" t="n"/>
      <c r="G1343" s="4" t="n"/>
    </row>
    <row r="1344" ht="27" customHeight="1">
      <c r="A1344" s="20" t="inlineStr">
        <is>
          <t>Вариант для: ПСАЭ</t>
        </is>
      </c>
      <c r="B1344" s="21" t="n"/>
      <c r="C1344" s="21" t="n"/>
      <c r="D1344" s="21" t="n"/>
      <c r="E1344" s="21" t="n"/>
      <c r="F1344" s="21" t="n"/>
      <c r="G1344" s="21" t="n"/>
    </row>
    <row r="1345" ht="32" customHeight="1">
      <c r="A1345" s="22" t="inlineStr">
        <is>
          <t>Базы знаний MITRE ATT&amp;CK, MITRE D3FEND, MITRE ENGANGE и их использование в жизненном цикле информационных систем.</t>
        </is>
      </c>
      <c r="B1345" s="2" t="n"/>
      <c r="C1345" s="2" t="n"/>
      <c r="D1345" s="2" t="n"/>
      <c r="E1345" s="2" t="n"/>
      <c r="F1345" s="2" t="n"/>
      <c r="G1345" s="2" t="n"/>
    </row>
    <row r="1346" ht="51" customHeight="1">
      <c r="A1346"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17</t>
        </is>
      </c>
      <c r="B1346" s="4" t="n"/>
      <c r="C1346" s="4" t="n"/>
      <c r="D1346" s="4" t="n"/>
      <c r="E1346" s="4" t="n"/>
      <c r="F1346" s="4" t="n"/>
      <c r="G1346" s="4" t="n"/>
    </row>
    <row r="1347" ht="30" customHeight="1">
      <c r="A1347" s="3" t="inlineStr">
        <is>
          <t>В программе: Тема 1. Модель нарушителя Cyber Kill Chain (8 часов лекции).</t>
        </is>
      </c>
      <c r="B1347" s="4" t="n"/>
      <c r="C1347" s="4" t="n"/>
      <c r="D1347" s="4" t="n"/>
      <c r="E1347" s="4" t="n"/>
      <c r="F1347" s="4" t="n"/>
      <c r="G1347" s="4" t="n"/>
    </row>
    <row r="1348" ht="25" customHeight="1">
      <c r="A1348" s="23" t="inlineStr">
        <is>
          <t>Исходная программа ПСАЭ ↗</t>
        </is>
      </c>
      <c r="D1348" s="23" t="inlineStr">
        <is>
          <t>Исходный УТП ПСАЭ ↗</t>
        </is>
      </c>
    </row>
    <row r="1349" ht="27" customHeight="1">
      <c r="A1349" s="24">
        <f>HYPERLINK("#'Выбор тем'!E"&amp;MATCH("T-AB3E3C19",'Выбор тем'!$A:$A,0),"← Вернуться к теме")</f>
        <v/>
      </c>
    </row>
    <row r="1351" ht="38" customHeight="1">
      <c r="A1351" s="18" t="inlineStr">
        <is>
          <t>Мониторинг кибербезопасности</t>
        </is>
      </c>
      <c r="B1351" s="19" t="n"/>
      <c r="C1351" s="19" t="n"/>
      <c r="D1351" s="19" t="n"/>
      <c r="E1351" s="19" t="n"/>
      <c r="F1351" s="19" t="n"/>
      <c r="G1351" s="19" t="n"/>
    </row>
    <row r="1352" ht="26" customHeight="1">
      <c r="A1352" s="3" t="inlineStr">
        <is>
          <t>T-F3E12FD8 · Программы: АКБ, АУРИК, БКТ, ЗИОЗ, КВОИ, ОПКС</t>
        </is>
      </c>
      <c r="B1352" s="4" t="n"/>
      <c r="C1352" s="4" t="n"/>
      <c r="D1352" s="4" t="n"/>
      <c r="E1352" s="4" t="n"/>
      <c r="F1352" s="4" t="n"/>
      <c r="G1352" s="4" t="n"/>
    </row>
    <row r="1353" ht="27" customHeight="1">
      <c r="A1353" s="20" t="inlineStr">
        <is>
          <t>Вариант для: АКБ</t>
        </is>
      </c>
      <c r="B1353" s="21" t="n"/>
      <c r="C1353" s="21" t="n"/>
      <c r="D1353" s="21" t="n"/>
      <c r="E1353" s="21" t="n"/>
      <c r="F1353" s="21" t="n"/>
      <c r="G1353" s="21" t="n"/>
    </row>
    <row r="1354" ht="112" customHeight="1">
      <c r="A1354" s="22" t="inlineStr">
        <is>
          <t>Определение состава сведений о событиях информационной безопасности, подлежащих регистрации. Обеспечение сбора и хранения сведений о событиях информационной безопасности в течение установленного срока хранения, но не менее одного года. Обеспечение централизованного сбора и хранения сведений о событиях информационной 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информационной 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Нормализация, агрегация,</t>
        </is>
      </c>
      <c r="B1354" s="2" t="n"/>
      <c r="C1354" s="2" t="n"/>
      <c r="D1354" s="2" t="n"/>
      <c r="E1354" s="2" t="n"/>
      <c r="F1354" s="2" t="n"/>
      <c r="G1354" s="2" t="n"/>
    </row>
    <row r="1355" ht="32" customHeight="1">
      <c r="A1355" s="22" t="inlineStr">
        <is>
          <t>корреляция событий информационной безопасности. Эксплуатация свободного программного обеспечения Wazuh.</t>
        </is>
      </c>
      <c r="B1355" s="2" t="n"/>
      <c r="C1355" s="2" t="n"/>
      <c r="D1355" s="2" t="n"/>
      <c r="E1355" s="2" t="n"/>
      <c r="F1355" s="2" t="n"/>
      <c r="G1355" s="2" t="n"/>
    </row>
    <row r="1356" ht="32" customHeight="1">
      <c r="A1356" s="22" t="inlineStr">
        <is>
          <t>Вопросы круглого стола:</t>
        </is>
      </c>
      <c r="B1356" s="2" t="n"/>
      <c r="C1356" s="2" t="n"/>
      <c r="D1356" s="2" t="n"/>
      <c r="E1356" s="2" t="n"/>
      <c r="F1356" s="2" t="n"/>
      <c r="G1356" s="2" t="n"/>
    </row>
    <row r="1357" ht="32" customHeight="1">
      <c r="A1357" s="22" t="inlineStr">
        <is>
          <t>SIEM-системы. Общий обзор существующих решений.</t>
        </is>
      </c>
      <c r="B1357" s="2" t="n"/>
      <c r="C1357" s="2" t="n"/>
      <c r="D1357" s="2" t="n"/>
      <c r="E1357" s="2" t="n"/>
      <c r="F1357" s="2" t="n"/>
      <c r="G1357" s="2" t="n"/>
    </row>
    <row r="1358" ht="51" customHeight="1">
      <c r="A1358" s="3" t="inlineStr">
        <is>
          <t>АКБ — Администратор кибербезопасности
Раздел: Практические аспекты обеспечения кибербезопасности · УТП: таблица 2, строка 14</t>
        </is>
      </c>
      <c r="B1358" s="4" t="n"/>
      <c r="C1358" s="4" t="n"/>
      <c r="D1358" s="4" t="n"/>
      <c r="E1358" s="4" t="n"/>
      <c r="F1358" s="4" t="n"/>
      <c r="G1358" s="4" t="n"/>
    </row>
    <row r="1359" ht="30" customHeight="1">
      <c r="A1359" s="3" t="inlineStr">
        <is>
          <t>В программе: Тема 3. Мониторинг кибербезопасности (6 часов лекции, 8 часов практические занятия, 2 часа круглый стол).</t>
        </is>
      </c>
      <c r="B1359" s="4" t="n"/>
      <c r="C1359" s="4" t="n"/>
      <c r="D1359" s="4" t="n"/>
      <c r="E1359" s="4" t="n"/>
      <c r="F1359" s="4" t="n"/>
      <c r="G1359" s="4" t="n"/>
    </row>
    <row r="1360" ht="25" customHeight="1">
      <c r="A1360" s="23" t="inlineStr">
        <is>
          <t>Исходная программа АКБ ↗</t>
        </is>
      </c>
      <c r="D1360" s="23" t="inlineStr">
        <is>
          <t>Исходный УТП АКБ ↗</t>
        </is>
      </c>
    </row>
    <row r="1361" ht="27" customHeight="1">
      <c r="A1361" s="20" t="inlineStr">
        <is>
          <t>Вариант для: АУРИК</t>
        </is>
      </c>
      <c r="B1361" s="21" t="n"/>
      <c r="C1361" s="21" t="n"/>
      <c r="D1361" s="21" t="n"/>
      <c r="E1361" s="21" t="n"/>
      <c r="F1361" s="21" t="n"/>
      <c r="G1361" s="21" t="n"/>
    </row>
    <row r="1362" ht="112" customHeight="1">
      <c r="A1362" s="22" t="inlineStr">
        <is>
          <t>Определение состава событий кибербезопасности, подлежащих регистрации. Обеспечение сбора и хранения событий кибербезопасности в течение установленного срока хранения, но не менее одного года. Обеспечение централизованного сбора и хранения событий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t>
        </is>
      </c>
      <c r="B1362" s="2" t="n"/>
      <c r="C1362" s="2" t="n"/>
      <c r="D1362" s="2" t="n"/>
      <c r="E1362" s="2" t="n"/>
      <c r="F1362" s="2" t="n"/>
      <c r="G1362" s="2" t="n"/>
    </row>
    <row r="1363" ht="32" customHeight="1">
      <c r="A1363" s="22" t="inlineStr">
        <is>
          <t>кибербезопасности. Эксплуатация свободного программного обеспечения Wazuh.</t>
        </is>
      </c>
      <c r="B1363" s="2" t="n"/>
      <c r="C1363" s="2" t="n"/>
      <c r="D1363" s="2" t="n"/>
      <c r="E1363" s="2" t="n"/>
      <c r="F1363" s="2" t="n"/>
      <c r="G1363" s="2" t="n"/>
    </row>
    <row r="1364" ht="51" customHeight="1">
      <c r="A1364"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12</t>
        </is>
      </c>
      <c r="B1364" s="4" t="n"/>
      <c r="C1364" s="4" t="n"/>
      <c r="D1364" s="4" t="n"/>
      <c r="E1364" s="4" t="n"/>
      <c r="F1364" s="4" t="n"/>
      <c r="G1364" s="4" t="n"/>
    </row>
    <row r="1365" ht="30" customHeight="1">
      <c r="A1365" s="3" t="inlineStr">
        <is>
          <t>В программе: Тема 4. Мониторинг кибербезопасности (12 часов практические занятия).</t>
        </is>
      </c>
      <c r="B1365" s="4" t="n"/>
      <c r="C1365" s="4" t="n"/>
      <c r="D1365" s="4" t="n"/>
      <c r="E1365" s="4" t="n"/>
      <c r="F1365" s="4" t="n"/>
      <c r="G1365" s="4" t="n"/>
    </row>
    <row r="1366" ht="25" customHeight="1">
      <c r="A1366" s="23" t="inlineStr">
        <is>
          <t>Исходная программа АУРИК ↗</t>
        </is>
      </c>
      <c r="D1366" s="23" t="inlineStr">
        <is>
          <t>Исходный УТП АУРИК ↗</t>
        </is>
      </c>
    </row>
    <row r="1367" ht="27" customHeight="1">
      <c r="A1367" s="20" t="inlineStr">
        <is>
          <t>Вариант для: БКТ</t>
        </is>
      </c>
      <c r="B1367" s="21" t="n"/>
      <c r="C1367" s="21" t="n"/>
      <c r="D1367" s="21" t="n"/>
      <c r="E1367" s="21" t="n"/>
      <c r="F1367" s="21" t="n"/>
      <c r="G1367" s="21" t="n"/>
    </row>
    <row r="1368" ht="112" customHeight="1">
      <c r="A1368" s="22"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t>
        </is>
      </c>
      <c r="B1368" s="2" t="n"/>
      <c r="C1368" s="2" t="n"/>
      <c r="D1368" s="2" t="n"/>
      <c r="E1368" s="2" t="n"/>
      <c r="F1368" s="2" t="n"/>
      <c r="G1368" s="2" t="n"/>
    </row>
    <row r="1369" ht="32" customHeight="1">
      <c r="A1369" s="22" t="inlineStr">
        <is>
          <t>Вопросы круглого стола:</t>
        </is>
      </c>
      <c r="B1369" s="2" t="n"/>
      <c r="C1369" s="2" t="n"/>
      <c r="D1369" s="2" t="n"/>
      <c r="E1369" s="2" t="n"/>
      <c r="F1369" s="2" t="n"/>
      <c r="G1369" s="2" t="n"/>
    </row>
    <row r="1370" ht="32" customHeight="1">
      <c r="A1370" s="22" t="inlineStr">
        <is>
          <t>SIEM-системы. Общий обзор существующих решений.</t>
        </is>
      </c>
      <c r="B1370" s="2" t="n"/>
      <c r="C1370" s="2" t="n"/>
      <c r="D1370" s="2" t="n"/>
      <c r="E1370" s="2" t="n"/>
      <c r="F1370" s="2" t="n"/>
      <c r="G1370" s="2" t="n"/>
    </row>
    <row r="1371" ht="51" customHeight="1">
      <c r="A1371" s="3" t="inlineStr">
        <is>
          <t>БКТ — Безопасность компьютерных технологий
Раздел: Практические аспекты обеспечения кибербезопасности · УТП: таблица 2, строка 16</t>
        </is>
      </c>
      <c r="B1371" s="4" t="n"/>
      <c r="C1371" s="4" t="n"/>
      <c r="D1371" s="4" t="n"/>
      <c r="E1371" s="4" t="n"/>
      <c r="F1371" s="4" t="n"/>
      <c r="G1371" s="4" t="n"/>
    </row>
    <row r="1372" ht="30" customHeight="1">
      <c r="A1372" s="3" t="inlineStr">
        <is>
          <t>В программе: Тема 2. Мониторинг кибербезопасности (3 часа лекции, 1 час круглый стол).</t>
        </is>
      </c>
      <c r="B1372" s="4" t="n"/>
      <c r="C1372" s="4" t="n"/>
      <c r="D1372" s="4" t="n"/>
      <c r="E1372" s="4" t="n"/>
      <c r="F1372" s="4" t="n"/>
      <c r="G1372" s="4" t="n"/>
    </row>
    <row r="1373" ht="25" customHeight="1">
      <c r="A1373" s="23" t="inlineStr">
        <is>
          <t>Исходная программа БКТ ↗</t>
        </is>
      </c>
      <c r="D1373" s="23" t="inlineStr">
        <is>
          <t>Исходный УТП БКТ ↗</t>
        </is>
      </c>
    </row>
    <row r="1374" ht="27" customHeight="1">
      <c r="A1374" s="20" t="inlineStr">
        <is>
          <t>Вариант для: ЗИОЗ</t>
        </is>
      </c>
      <c r="B1374" s="21" t="n"/>
      <c r="C1374" s="21" t="n"/>
      <c r="D1374" s="21" t="n"/>
      <c r="E1374" s="21" t="n"/>
      <c r="F1374" s="21" t="n"/>
      <c r="G1374" s="21" t="n"/>
    </row>
    <row r="1375" ht="112" customHeight="1">
      <c r="A1375" s="22"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t>
        </is>
      </c>
      <c r="B1375" s="2" t="n"/>
      <c r="C1375" s="2" t="n"/>
      <c r="D1375" s="2" t="n"/>
      <c r="E1375" s="2" t="n"/>
      <c r="F1375" s="2" t="n"/>
      <c r="G1375" s="2" t="n"/>
    </row>
    <row r="1376" ht="32" customHeight="1">
      <c r="A1376" s="22" t="inlineStr">
        <is>
          <t>агрегация, корреляция событий кибербезопасности.</t>
        </is>
      </c>
      <c r="B1376" s="2" t="n"/>
      <c r="C1376" s="2" t="n"/>
      <c r="D1376" s="2" t="n"/>
      <c r="E1376" s="2" t="n"/>
      <c r="F1376" s="2" t="n"/>
      <c r="G1376" s="2" t="n"/>
    </row>
    <row r="1377" ht="32" customHeight="1">
      <c r="A1377" s="22" t="inlineStr">
        <is>
          <t>Сбор событий кибербезопасности согласно определенному составу сведений.</t>
        </is>
      </c>
      <c r="B1377" s="2" t="n"/>
      <c r="C1377" s="2" t="n"/>
      <c r="D1377" s="2" t="n"/>
      <c r="E1377" s="2" t="n"/>
      <c r="F1377" s="2" t="n"/>
      <c r="G1377" s="2" t="n"/>
    </row>
    <row r="1378" ht="51" customHeight="1">
      <c r="A1378"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15</t>
        </is>
      </c>
      <c r="B1378" s="4" t="n"/>
      <c r="C1378" s="4" t="n"/>
      <c r="D1378" s="4" t="n"/>
      <c r="E1378" s="4" t="n"/>
      <c r="F1378" s="4" t="n"/>
      <c r="G1378" s="4" t="n"/>
    </row>
    <row r="1379" ht="30" customHeight="1">
      <c r="A1379" s="3" t="inlineStr">
        <is>
          <t>В программе: Тема 3. Мониторинг кибербезопасности (2 часа лекции, 2 часа практические занятия).</t>
        </is>
      </c>
      <c r="B1379" s="4" t="n"/>
      <c r="C1379" s="4" t="n"/>
      <c r="D1379" s="4" t="n"/>
      <c r="E1379" s="4" t="n"/>
      <c r="F1379" s="4" t="n"/>
      <c r="G1379" s="4" t="n"/>
    </row>
    <row r="1380" ht="25" customHeight="1">
      <c r="A1380" s="23" t="inlineStr">
        <is>
          <t>Исходная программа ЗИОЗ ↗</t>
        </is>
      </c>
      <c r="D1380" s="23" t="inlineStr">
        <is>
          <t>Исходный УТП ЗИОЗ ↗</t>
        </is>
      </c>
    </row>
    <row r="1381" ht="27" customHeight="1">
      <c r="A1381" s="20" t="inlineStr">
        <is>
          <t>Вариант для: КВОИ</t>
        </is>
      </c>
      <c r="B1381" s="21" t="n"/>
      <c r="C1381" s="21" t="n"/>
      <c r="D1381" s="21" t="n"/>
      <c r="E1381" s="21" t="n"/>
      <c r="F1381" s="21" t="n"/>
      <c r="G1381" s="21" t="n"/>
    </row>
    <row r="1382" ht="112" customHeight="1">
      <c r="A1382" s="22"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 кибербезопасности. Сбор событий</t>
        </is>
      </c>
      <c r="B1382" s="2" t="n"/>
      <c r="C1382" s="2" t="n"/>
      <c r="D1382" s="2" t="n"/>
      <c r="E1382" s="2" t="n"/>
      <c r="F1382" s="2" t="n"/>
      <c r="G1382" s="2" t="n"/>
    </row>
    <row r="1383" ht="32" customHeight="1">
      <c r="A1383" s="22" t="inlineStr">
        <is>
          <t>кибербезопасности согласно определенному составу сведений.</t>
        </is>
      </c>
      <c r="B1383" s="2" t="n"/>
      <c r="C1383" s="2" t="n"/>
      <c r="D1383" s="2" t="n"/>
      <c r="E1383" s="2" t="n"/>
      <c r="F1383" s="2" t="n"/>
      <c r="G1383" s="2" t="n"/>
    </row>
    <row r="1384" ht="51" customHeight="1">
      <c r="A1384"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17</t>
        </is>
      </c>
      <c r="B1384" s="4" t="n"/>
      <c r="C1384" s="4" t="n"/>
      <c r="D1384" s="4" t="n"/>
      <c r="E1384" s="4" t="n"/>
      <c r="F1384" s="4" t="n"/>
      <c r="G1384" s="4" t="n"/>
    </row>
    <row r="1385" ht="30" customHeight="1">
      <c r="A1385" s="3" t="inlineStr">
        <is>
          <t>В программе: Тема 5. Мониторинг кибербезопасности (2 часа лекции).</t>
        </is>
      </c>
      <c r="B1385" s="4" t="n"/>
      <c r="C1385" s="4" t="n"/>
      <c r="D1385" s="4" t="n"/>
      <c r="E1385" s="4" t="n"/>
      <c r="F1385" s="4" t="n"/>
      <c r="G1385" s="4" t="n"/>
    </row>
    <row r="1386" ht="25" customHeight="1">
      <c r="A1386" s="23" t="inlineStr">
        <is>
          <t>Исходная программа КВОИ ↗</t>
        </is>
      </c>
      <c r="D1386" s="23" t="inlineStr">
        <is>
          <t>Исходный УТП КВОИ ↗</t>
        </is>
      </c>
    </row>
    <row r="1387" ht="27" customHeight="1">
      <c r="A1387" s="20" t="inlineStr">
        <is>
          <t>Вариант для: ОПКС</t>
        </is>
      </c>
      <c r="B1387" s="21" t="n"/>
      <c r="C1387" s="21" t="n"/>
      <c r="D1387" s="21" t="n"/>
      <c r="E1387" s="21" t="n"/>
      <c r="F1387" s="21" t="n"/>
      <c r="G1387" s="21" t="n"/>
    </row>
    <row r="1388" ht="112" customHeight="1">
      <c r="A1388" s="22" t="inlineStr">
        <is>
          <t>Определение состава сведений о событиях информационной безопасности, подлежащих регистрации. Обеспечение сбора и хранения сведений о событиях информационной безопасности в течение установленного срока хранения, но не менее одного года. Обеспечение централизованного сбора и хранения сведений о событиях информационной 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t>
        </is>
      </c>
      <c r="B1388" s="2" t="n"/>
      <c r="C1388" s="2" t="n"/>
      <c r="D1388" s="2" t="n"/>
      <c r="E1388" s="2" t="n"/>
      <c r="F1388" s="2" t="n"/>
      <c r="G1388" s="2" t="n"/>
    </row>
    <row r="1389" ht="32" customHeight="1">
      <c r="A1389" s="22" t="inlineStr">
        <is>
          <t>существующих решений. Нормализация, агрегация, корреляция событий кибербезопасности.</t>
        </is>
      </c>
      <c r="B1389" s="2" t="n"/>
      <c r="C1389" s="2" t="n"/>
      <c r="D1389" s="2" t="n"/>
      <c r="E1389" s="2" t="n"/>
      <c r="F1389" s="2" t="n"/>
      <c r="G1389" s="2" t="n"/>
    </row>
    <row r="1390" ht="51" customHeight="1">
      <c r="A1390"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25</t>
        </is>
      </c>
      <c r="B1390" s="4" t="n"/>
      <c r="C1390" s="4" t="n"/>
      <c r="D1390" s="4" t="n"/>
      <c r="E1390" s="4" t="n"/>
      <c r="F1390" s="4" t="n"/>
      <c r="G1390" s="4" t="n"/>
    </row>
    <row r="1391" ht="30" customHeight="1">
      <c r="A1391" s="3" t="inlineStr">
        <is>
          <t>В программе: Тема 8. Мониторинг кибербезопасности (4 часа лекции).</t>
        </is>
      </c>
      <c r="B1391" s="4" t="n"/>
      <c r="C1391" s="4" t="n"/>
      <c r="D1391" s="4" t="n"/>
      <c r="E1391" s="4" t="n"/>
      <c r="F1391" s="4" t="n"/>
      <c r="G1391" s="4" t="n"/>
    </row>
    <row r="1392" ht="25" customHeight="1">
      <c r="A1392" s="23" t="inlineStr">
        <is>
          <t>Исходная программа ОПКС ↗</t>
        </is>
      </c>
      <c r="D1392" s="23" t="inlineStr">
        <is>
          <t>Исходный УТП ОПКС ↗</t>
        </is>
      </c>
    </row>
    <row r="1393" ht="27" customHeight="1">
      <c r="A1393" s="24">
        <f>HYPERLINK("#'Выбор тем'!E"&amp;MATCH("T-F3E12FD8",'Выбор тем'!$A:$A,0),"← Вернуться к теме")</f>
        <v/>
      </c>
    </row>
    <row r="1395" ht="38" customHeight="1">
      <c r="A1395" s="18" t="inlineStr">
        <is>
          <t>Мониторинг кибербезопасности. Реагирование на киберинциденты</t>
        </is>
      </c>
      <c r="B1395" s="19" t="n"/>
      <c r="C1395" s="19" t="n"/>
      <c r="D1395" s="19" t="n"/>
      <c r="E1395" s="19" t="n"/>
      <c r="F1395" s="19" t="n"/>
      <c r="G1395" s="19" t="n"/>
    </row>
    <row r="1396" ht="26" customHeight="1">
      <c r="A1396" s="3" t="inlineStr">
        <is>
          <t>T-1DB7623B · Программы: ТЗПД</t>
        </is>
      </c>
      <c r="B1396" s="4" t="n"/>
      <c r="C1396" s="4" t="n"/>
      <c r="D1396" s="4" t="n"/>
      <c r="E1396" s="4" t="n"/>
      <c r="F1396" s="4" t="n"/>
      <c r="G1396" s="4" t="n"/>
    </row>
    <row r="1397" ht="27" customHeight="1">
      <c r="A1397" s="20" t="inlineStr">
        <is>
          <t>Вариант для: ТЗПД</t>
        </is>
      </c>
      <c r="B1397" s="21" t="n"/>
      <c r="C1397" s="21" t="n"/>
      <c r="D1397" s="21" t="n"/>
      <c r="E1397" s="21" t="n"/>
      <c r="F1397" s="21" t="n"/>
      <c r="G1397" s="21" t="n"/>
    </row>
    <row r="1398" ht="112" customHeight="1">
      <c r="A1398" s="22"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кибербезопасности. SIEM-системы. Общий обзор существующих решений. Нормализация, агрегация, корреляция событий кибербезопасности. Сбор событий</t>
        </is>
      </c>
      <c r="B1398" s="2" t="n"/>
      <c r="C1398" s="2" t="n"/>
      <c r="D1398" s="2" t="n"/>
      <c r="E1398" s="2" t="n"/>
      <c r="F1398" s="2" t="n"/>
      <c r="G1398" s="2" t="n"/>
    </row>
    <row r="1399" ht="32" customHeight="1">
      <c r="A1399" s="22" t="inlineStr">
        <is>
          <t>кибербезопасности согласно определенному составу сведений.</t>
        </is>
      </c>
      <c r="B1399" s="2" t="n"/>
      <c r="C1399" s="2" t="n"/>
      <c r="D1399" s="2" t="n"/>
      <c r="E1399" s="2" t="n"/>
      <c r="F1399" s="2" t="n"/>
      <c r="G1399" s="2" t="n"/>
    </row>
    <row r="1400" ht="80" customHeight="1">
      <c r="A1400" s="22"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Оперативно-аналитический центр при Президенте Республики Беларусь.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1400" s="2" t="n"/>
      <c r="C1400" s="2" t="n"/>
      <c r="D1400" s="2" t="n"/>
      <c r="E1400" s="2" t="n"/>
      <c r="F1400" s="2" t="n"/>
      <c r="G1400" s="2" t="n"/>
    </row>
    <row r="1401" ht="32" customHeight="1">
      <c r="A1401" s="22" t="inlineStr">
        <is>
          <t>Вопросы тематической дискуссии:</t>
        </is>
      </c>
      <c r="B1401" s="2" t="n"/>
      <c r="C1401" s="2" t="n"/>
      <c r="D1401" s="2" t="n"/>
      <c r="E1401" s="2" t="n"/>
      <c r="F1401" s="2" t="n"/>
      <c r="G1401" s="2" t="n"/>
    </row>
    <row r="1402" ht="32" customHeight="1">
      <c r="A1402" s="22" t="inlineStr">
        <is>
          <t>Роль централизованного мониторинга событий кибербезопасности в своевременном выявлении киберинцидентов.</t>
        </is>
      </c>
      <c r="B1402" s="2" t="n"/>
      <c r="C1402" s="2" t="n"/>
      <c r="D1402" s="2" t="n"/>
      <c r="E1402" s="2" t="n"/>
      <c r="F1402" s="2" t="n"/>
      <c r="G1402" s="2" t="n"/>
    </row>
    <row r="1403" ht="32" customHeight="1">
      <c r="A1403" s="22" t="inlineStr">
        <is>
          <t>Практические аспекты определения состава сведений, подлежащих регистрации, хранению и анализу.</t>
        </is>
      </c>
      <c r="B1403" s="2" t="n"/>
      <c r="C1403" s="2" t="n"/>
      <c r="D1403" s="2" t="n"/>
      <c r="E1403" s="2" t="n"/>
      <c r="F1403" s="2" t="n"/>
      <c r="G1403" s="2" t="n"/>
    </row>
    <row r="1404" ht="32" customHeight="1">
      <c r="A1404" s="22" t="inlineStr">
        <is>
          <t>Риски недостаточной корреляции событий кибербезопасности при выявлении сложных кибератак.</t>
        </is>
      </c>
      <c r="B1404" s="2" t="n"/>
      <c r="C1404" s="2" t="n"/>
      <c r="D1404" s="2" t="n"/>
      <c r="E1404" s="2" t="n"/>
      <c r="F1404" s="2" t="n"/>
      <c r="G1404" s="2" t="n"/>
    </row>
    <row r="1405" ht="32" customHeight="1">
      <c r="A1405" s="22" t="inlineStr">
        <is>
          <t>Особенности взаимодействия с государственными органами и национальными структурами реагирования на киберинциденты.</t>
        </is>
      </c>
      <c r="B1405" s="2" t="n"/>
      <c r="C1405" s="2" t="n"/>
      <c r="D1405" s="2" t="n"/>
      <c r="E1405" s="2" t="n"/>
      <c r="F1405" s="2" t="n"/>
      <c r="G1405" s="2" t="n"/>
    </row>
    <row r="1406" ht="32" customHeight="1">
      <c r="A1406" s="22" t="inlineStr">
        <is>
          <t>Значение сохранности сведений о событиях кибербезопасности для выявления индикаторов компрометации и оценки ущерба.</t>
        </is>
      </c>
      <c r="B1406" s="2" t="n"/>
      <c r="C1406" s="2" t="n"/>
      <c r="D1406" s="2" t="n"/>
      <c r="E1406" s="2" t="n"/>
      <c r="F1406" s="2" t="n"/>
      <c r="G1406" s="2" t="n"/>
    </row>
    <row r="1407" ht="51" customHeight="1">
      <c r="A1407" s="3" t="inlineStr">
        <is>
          <t>ТЗПД — Техническая защита персональных данных
Раздел: Практические аспекты обеспечения кибербезопасности · УТП: таблица 2, строка 15</t>
        </is>
      </c>
      <c r="B1407" s="4" t="n"/>
      <c r="C1407" s="4" t="n"/>
      <c r="D1407" s="4" t="n"/>
      <c r="E1407" s="4" t="n"/>
      <c r="F1407" s="4" t="n"/>
      <c r="G1407" s="4" t="n"/>
    </row>
    <row r="1408" ht="30" customHeight="1">
      <c r="A1408" s="3" t="inlineStr">
        <is>
          <t>В программе: Тема 2. Мониторинг кибербезопасности. Реагирование на киберинциденты (3 часа лекции, 1 час тематическая дискуссия).</t>
        </is>
      </c>
      <c r="B1408" s="4" t="n"/>
      <c r="C1408" s="4" t="n"/>
      <c r="D1408" s="4" t="n"/>
      <c r="E1408" s="4" t="n"/>
      <c r="F1408" s="4" t="n"/>
      <c r="G1408" s="4" t="n"/>
    </row>
    <row r="1409" ht="25" customHeight="1">
      <c r="A1409" s="23" t="inlineStr">
        <is>
          <t>Исходная программа ТЗПД ↗</t>
        </is>
      </c>
      <c r="D1409" s="23" t="inlineStr">
        <is>
          <t>Исходный УТП ТЗПД ↗</t>
        </is>
      </c>
    </row>
    <row r="1410" ht="27" customHeight="1">
      <c r="A1410" s="24">
        <f>HYPERLINK("#'Выбор тем'!E"&amp;MATCH("T-1DB7623B",'Выбор тем'!$A:$A,0),"← Вернуться к теме")</f>
        <v/>
      </c>
    </row>
    <row r="1412" ht="48" customHeight="1">
      <c r="A1412" s="18" t="inlineStr">
        <is>
          <t>Мониторинг сетевых устройств. SNMP и NetFlow. Системы мониторинга. Сбор и анализ диагностических сообщений: syslog, snmp</t>
        </is>
      </c>
      <c r="B1412" s="19" t="n"/>
      <c r="C1412" s="19" t="n"/>
      <c r="D1412" s="19" t="n"/>
      <c r="E1412" s="19" t="n"/>
      <c r="F1412" s="19" t="n"/>
      <c r="G1412" s="19" t="n"/>
    </row>
    <row r="1413" ht="26" customHeight="1">
      <c r="A1413" s="3" t="inlineStr">
        <is>
          <t>T-624A2BA8 · Программы: КО</t>
        </is>
      </c>
      <c r="B1413" s="4" t="n"/>
      <c r="C1413" s="4" t="n"/>
      <c r="D1413" s="4" t="n"/>
      <c r="E1413" s="4" t="n"/>
      <c r="F1413" s="4" t="n"/>
      <c r="G1413" s="4" t="n"/>
    </row>
    <row r="1414" ht="27" customHeight="1">
      <c r="A1414" s="20" t="inlineStr">
        <is>
          <t>Вариант для: КО</t>
        </is>
      </c>
      <c r="B1414" s="21" t="n"/>
      <c r="C1414" s="21" t="n"/>
      <c r="D1414" s="21" t="n"/>
      <c r="E1414" s="21" t="n"/>
      <c r="F1414" s="21" t="n"/>
      <c r="G1414" s="21" t="n"/>
    </row>
    <row r="1415" ht="80" customHeight="1">
      <c r="A1415" s="22" t="inlineStr">
        <is>
          <t>Назначение и варианты мониторинга сетевых устройств. Определение и назначение SNMP. Версии SNMP и их различия. Примеры средств защиты, работающих по протоколу SNMP. Определение и назначение NetFlow. Версии NetFlow и их различия. Технические средства мониторинга событий безопасности. Определение и назначение SIEM систем. Определение и назначение диагностических сообщений. Варианты сбора и анализа диагностических сообщений. Различия существующих диагностических сообщений: syslog, SNMP, NetFlow.</t>
        </is>
      </c>
      <c r="B1415" s="2" t="n"/>
      <c r="C1415" s="2" t="n"/>
      <c r="D1415" s="2" t="n"/>
      <c r="E1415" s="2" t="n"/>
      <c r="F1415" s="2" t="n"/>
      <c r="G1415" s="2" t="n"/>
    </row>
    <row r="1416" ht="51" customHeight="1">
      <c r="A1416" s="3" t="inlineStr">
        <is>
          <t>КО — Кибербезопасность государственных и иных организаций
Раздел: Меры по обеспечению кибербезопасности. · УТП: таблица 2, строка 19</t>
        </is>
      </c>
      <c r="B1416" s="4" t="n"/>
      <c r="C1416" s="4" t="n"/>
      <c r="D1416" s="4" t="n"/>
      <c r="E1416" s="4" t="n"/>
      <c r="F1416" s="4" t="n"/>
      <c r="G1416" s="4" t="n"/>
    </row>
    <row r="1417" ht="46" customHeight="1">
      <c r="A1417" s="3" t="inlineStr">
        <is>
          <t>В программе: Тема 7. Мониторинг сетевых устройств. SNMP и NetFlow. Системы мониторинга. Сбор и анализ диагностических сообщений: syslog, snmp (2 часа лекции, 8 часов практические занятия).</t>
        </is>
      </c>
      <c r="B1417" s="4" t="n"/>
      <c r="C1417" s="4" t="n"/>
      <c r="D1417" s="4" t="n"/>
      <c r="E1417" s="4" t="n"/>
      <c r="F1417" s="4" t="n"/>
      <c r="G1417" s="4" t="n"/>
    </row>
    <row r="1418" ht="25" customHeight="1">
      <c r="A1418" s="23" t="inlineStr">
        <is>
          <t>Исходная программа КО ↗</t>
        </is>
      </c>
      <c r="D1418" s="23" t="inlineStr">
        <is>
          <t>Исходный УТП КО ↗</t>
        </is>
      </c>
    </row>
    <row r="1419" ht="27" customHeight="1">
      <c r="A1419" s="24">
        <f>HYPERLINK("#'Выбор тем'!E"&amp;MATCH("T-624A2BA8",'Выбор тем'!$A:$A,0),"← Вернуться к теме")</f>
        <v/>
      </c>
    </row>
    <row r="1421" ht="38" customHeight="1">
      <c r="A1421" s="18" t="inlineStr">
        <is>
          <t>Мониторинг событий информационной безопасности (на примере KUMA)</t>
        </is>
      </c>
      <c r="B1421" s="19" t="n"/>
      <c r="C1421" s="19" t="n"/>
      <c r="D1421" s="19" t="n"/>
      <c r="E1421" s="19" t="n"/>
      <c r="F1421" s="19" t="n"/>
      <c r="G1421" s="19" t="n"/>
    </row>
    <row r="1422" ht="26" customHeight="1">
      <c r="A1422" s="3" t="inlineStr">
        <is>
          <t>T-6698172C · Программы: ПСАЭ</t>
        </is>
      </c>
      <c r="B1422" s="4" t="n"/>
      <c r="C1422" s="4" t="n"/>
      <c r="D1422" s="4" t="n"/>
      <c r="E1422" s="4" t="n"/>
      <c r="F1422" s="4" t="n"/>
      <c r="G1422" s="4" t="n"/>
    </row>
    <row r="1423" ht="27" customHeight="1">
      <c r="A1423" s="20" t="inlineStr">
        <is>
          <t>Вариант для: ПСАЭ</t>
        </is>
      </c>
      <c r="B1423" s="21" t="n"/>
      <c r="C1423" s="21" t="n"/>
      <c r="D1423" s="21" t="n"/>
      <c r="E1423" s="21" t="n"/>
      <c r="F1423" s="21" t="n"/>
      <c r="G1423" s="21" t="n"/>
    </row>
    <row r="1424" ht="48" customHeight="1">
      <c r="A1424" s="22" t="inlineStr">
        <is>
          <t>Назначение KUMA SIEM. Компоненты системы, направления развития, потоки данных. Установка системы KUMA. Журналы и устранение неполадок. Пользователи и роли, инфраструктуры.</t>
        </is>
      </c>
      <c r="B1424" s="2" t="n"/>
      <c r="C1424" s="2" t="n"/>
      <c r="D1424" s="2" t="n"/>
      <c r="E1424" s="2" t="n"/>
      <c r="F1424" s="2" t="n"/>
      <c r="G1424" s="2" t="n"/>
    </row>
    <row r="1425" ht="48" customHeight="1">
      <c r="A1425" s="22" t="inlineStr">
        <is>
          <t>Сбор и работа с событиями. Сбор событий по WindowsEventLog. Сбор событий Kaspersky Security Center из базы данных Microsoft SQL Server. Сбор событий по протоколу Syslog.</t>
        </is>
      </c>
      <c r="B1425" s="2" t="n"/>
      <c r="C1425" s="2" t="n"/>
      <c r="D1425" s="2" t="n"/>
      <c r="E1425" s="2" t="n"/>
      <c r="F1425" s="2" t="n"/>
      <c r="G1425" s="2" t="n"/>
    </row>
    <row r="1426" ht="64" customHeight="1">
      <c r="A1426" s="22" t="inlineStr">
        <is>
          <t>Нормализация, обогащение и корреляция событий в консоли. Нормализация, обогащение и корреляция событий в графическом интерфейсе. Отладка правил на потоке данных. Загрузка событий из файла и отладка. Агрегация инцидентов. Аналитика на основе загруженных событий. Доставка почтового уведомления. Группировка событий, создание виджетов и отчётов.</t>
        </is>
      </c>
      <c r="B1426" s="2" t="n"/>
      <c r="C1426" s="2" t="n"/>
      <c r="D1426" s="2" t="n"/>
      <c r="E1426" s="2" t="n"/>
      <c r="F1426" s="2" t="n"/>
      <c r="G1426" s="2" t="n"/>
    </row>
    <row r="1427" ht="51" customHeight="1">
      <c r="A1427"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23</t>
        </is>
      </c>
      <c r="B1427" s="4" t="n"/>
      <c r="C1427" s="4" t="n"/>
      <c r="D1427" s="4" t="n"/>
      <c r="E1427" s="4" t="n"/>
      <c r="F1427" s="4" t="n"/>
      <c r="G1427" s="4" t="n"/>
    </row>
    <row r="1428" ht="30" customHeight="1">
      <c r="A1428" s="3" t="inlineStr">
        <is>
          <t>В программе: Тема 7. Мониторинг событий информационной безопасности (на примере KUMA) (4 часа лекции, 4 часа практические занятия).</t>
        </is>
      </c>
      <c r="B1428" s="4" t="n"/>
      <c r="C1428" s="4" t="n"/>
      <c r="D1428" s="4" t="n"/>
      <c r="E1428" s="4" t="n"/>
      <c r="F1428" s="4" t="n"/>
      <c r="G1428" s="4" t="n"/>
    </row>
    <row r="1429" ht="25" customHeight="1">
      <c r="A1429" s="23" t="inlineStr">
        <is>
          <t>Исходная программа ПСАЭ ↗</t>
        </is>
      </c>
      <c r="D1429" s="23" t="inlineStr">
        <is>
          <t>Исходный УТП ПСАЭ ↗</t>
        </is>
      </c>
    </row>
    <row r="1430" ht="27" customHeight="1">
      <c r="A1430" s="24">
        <f>HYPERLINK("#'Выбор тем'!E"&amp;MATCH("T-6698172C",'Выбор тем'!$A:$A,0),"← Вернуться к теме")</f>
        <v/>
      </c>
    </row>
    <row r="1432" ht="38" customHeight="1">
      <c r="A1432" s="18" t="inlineStr">
        <is>
          <t>Мониторинг состояния защищенности информации</t>
        </is>
      </c>
      <c r="B1432" s="19" t="n"/>
      <c r="C1432" s="19" t="n"/>
      <c r="D1432" s="19" t="n"/>
      <c r="E1432" s="19" t="n"/>
      <c r="F1432" s="19" t="n"/>
      <c r="G1432" s="19" t="n"/>
    </row>
    <row r="1433" ht="26" customHeight="1">
      <c r="A1433" s="3" t="inlineStr">
        <is>
          <t>T-CBF7AF0C · Программы: ЗИКС</t>
        </is>
      </c>
      <c r="B1433" s="4" t="n"/>
      <c r="C1433" s="4" t="n"/>
      <c r="D1433" s="4" t="n"/>
      <c r="E1433" s="4" t="n"/>
      <c r="F1433" s="4" t="n"/>
      <c r="G1433" s="4" t="n"/>
    </row>
    <row r="1434" ht="27" customHeight="1">
      <c r="A1434" s="20" t="inlineStr">
        <is>
          <t>Вариант для: ЗИКС</t>
        </is>
      </c>
      <c r="B1434" s="21" t="n"/>
      <c r="C1434" s="21" t="n"/>
      <c r="D1434" s="21" t="n"/>
      <c r="E1434" s="21" t="n"/>
      <c r="F1434" s="21" t="n"/>
      <c r="G1434" s="21" t="n"/>
    </row>
    <row r="1435" ht="112" customHeight="1">
      <c r="A1435" s="22" t="inlineStr">
        <is>
          <t>Определение состава сведений о событиях кибербезопасности, подлежащих регистрации. Обеспечение сбора и хранения сведений о событиях кибербезопасности в течение установленного срока хранения, но не менее одного года. Обеспечение централизованного сбора и хранения сведений о событиях кибербезопасности в течение установленного срока хранения, но не менее одного года. Определение способа (просмотр, анализ) и периодичности мониторинга событий кибербезопасности уполномоченными на это пользователями информационной системы. Обеспечение сбора и хранения информации о функционировании средств вычислительной техники, телекоммуникационного оборудования и средств защиты информации в течение установленного срока хранения, но не менее одного года. Средства мониторинга состояния защищенности информации. SIEM-системы. Общий обзор существующих решений.</t>
        </is>
      </c>
      <c r="B1435" s="2" t="n"/>
      <c r="C1435" s="2" t="n"/>
      <c r="D1435" s="2" t="n"/>
      <c r="E1435" s="2" t="n"/>
      <c r="F1435" s="2" t="n"/>
      <c r="G1435" s="2" t="n"/>
    </row>
    <row r="1436" ht="32" customHeight="1">
      <c r="A1436" s="22" t="inlineStr">
        <is>
          <t>Нормализация, агрегация, корреляция событий кибербезопасности.</t>
        </is>
      </c>
      <c r="B1436" s="2" t="n"/>
      <c r="C1436" s="2" t="n"/>
      <c r="D1436" s="2" t="n"/>
      <c r="E1436" s="2" t="n"/>
      <c r="F1436" s="2" t="n"/>
      <c r="G1436" s="2" t="n"/>
    </row>
    <row r="1437" ht="51" customHeight="1">
      <c r="A1437" s="3" t="inlineStr">
        <is>
          <t>ЗИКС — Защита информации в корпоративных системах
Раздел: Проектирование, создание и аттестация систем защиты информации. · УТП: таблица 2, строка 11</t>
        </is>
      </c>
      <c r="B1437" s="4" t="n"/>
      <c r="C1437" s="4" t="n"/>
      <c r="D1437" s="4" t="n"/>
      <c r="E1437" s="4" t="n"/>
      <c r="F1437" s="4" t="n"/>
      <c r="G1437" s="4" t="n"/>
    </row>
    <row r="1438" ht="30" customHeight="1">
      <c r="A1438" s="3" t="inlineStr">
        <is>
          <t>В программе: Тема 3. Мониторинг состояния защищенности информации (4 часа лекции).</t>
        </is>
      </c>
      <c r="B1438" s="4" t="n"/>
      <c r="C1438" s="4" t="n"/>
      <c r="D1438" s="4" t="n"/>
      <c r="E1438" s="4" t="n"/>
      <c r="F1438" s="4" t="n"/>
      <c r="G1438" s="4" t="n"/>
    </row>
    <row r="1439" ht="25" customHeight="1">
      <c r="A1439" s="23" t="inlineStr">
        <is>
          <t>Исходная программа ЗИКС ↗</t>
        </is>
      </c>
      <c r="D1439" s="23" t="inlineStr">
        <is>
          <t>Исходный УТП ЗИКС ↗</t>
        </is>
      </c>
    </row>
    <row r="1440" ht="27" customHeight="1">
      <c r="A1440" s="24">
        <f>HYPERLINK("#'Выбор тем'!E"&amp;MATCH("T-CBF7AF0C",'Выбор тем'!$A:$A,0),"← Вернуться к теме")</f>
        <v/>
      </c>
    </row>
    <row r="1442" ht="48" customHeight="1">
      <c r="A1442" s="18" t="inlineStr">
        <is>
          <t>Наглядная демонстрация рисков для предприятия на базе киберполигона при ошибках настройки СЗИ или автоматизированных систем киберцентра</t>
        </is>
      </c>
      <c r="B1442" s="19" t="n"/>
      <c r="C1442" s="19" t="n"/>
      <c r="D1442" s="19" t="n"/>
      <c r="E1442" s="19" t="n"/>
      <c r="F1442" s="19" t="n"/>
      <c r="G1442" s="19" t="n"/>
    </row>
    <row r="1443" ht="26" customHeight="1">
      <c r="A1443" s="3" t="inlineStr">
        <is>
          <t>T-08E524F3 · Программы: ОКБО</t>
        </is>
      </c>
      <c r="B1443" s="4" t="n"/>
      <c r="C1443" s="4" t="n"/>
      <c r="D1443" s="4" t="n"/>
      <c r="E1443" s="4" t="n"/>
      <c r="F1443" s="4" t="n"/>
      <c r="G1443" s="4" t="n"/>
    </row>
    <row r="1444" ht="27" customHeight="1">
      <c r="A1444" s="20" t="inlineStr">
        <is>
          <t>Вариант для: ОКБО</t>
        </is>
      </c>
      <c r="B1444" s="21" t="n"/>
      <c r="C1444" s="21" t="n"/>
      <c r="D1444" s="21" t="n"/>
      <c r="E1444" s="21" t="n"/>
      <c r="F1444" s="21" t="n"/>
      <c r="G1444" s="21" t="n"/>
    </row>
    <row r="1445" ht="31" customHeight="1">
      <c r="A1445" s="25" t="inlineStr">
        <is>
          <t>Тема есть в УТП, но отдельное описание не найдено и в обновлённой программе ОКБО.</t>
        </is>
      </c>
      <c r="B1445" s="26" t="n"/>
      <c r="C1445" s="26" t="n"/>
      <c r="D1445" s="26" t="n"/>
      <c r="E1445" s="26" t="n"/>
      <c r="F1445" s="26" t="n"/>
      <c r="G1445" s="26" t="n"/>
    </row>
    <row r="1446" ht="48" customHeight="1">
      <c r="A1446" s="22"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1446" s="2" t="n"/>
      <c r="C1446" s="2" t="n"/>
      <c r="D1446" s="2" t="n"/>
      <c r="E1446" s="2" t="n"/>
      <c r="F1446" s="2" t="n"/>
      <c r="G1446" s="2" t="n"/>
    </row>
    <row r="1447" ht="51" customHeight="1">
      <c r="A1447" s="3" t="inlineStr">
        <is>
          <t>ОКБО — Обеспечение кибербезопасности организаций
Раздел: Отработка практических заданий на базе киберполигона · УТП: таблица 2, строка 47</t>
        </is>
      </c>
      <c r="B1447" s="4" t="n"/>
      <c r="C1447" s="4" t="n"/>
      <c r="D1447" s="4" t="n"/>
      <c r="E1447" s="4" t="n"/>
      <c r="F1447" s="4" t="n"/>
      <c r="G1447" s="4" t="n"/>
    </row>
    <row r="1448" ht="25" customHeight="1">
      <c r="A1448" s="23" t="inlineStr">
        <is>
          <t>Исходная программа ОКБО ↗</t>
        </is>
      </c>
      <c r="D1448" s="23" t="inlineStr">
        <is>
          <t>Исходный УТП ОКБО ↗</t>
        </is>
      </c>
    </row>
    <row r="1449" ht="27" customHeight="1">
      <c r="A1449" s="24">
        <f>HYPERLINK("#'Выбор тем'!E"&amp;MATCH("T-08E524F3",'Выбор тем'!$A:$A,0),"← Вернуться к теме")</f>
        <v/>
      </c>
    </row>
    <row r="1451" ht="38" customHeight="1">
      <c r="A1451" s="18" t="inlineStr">
        <is>
          <t>Назначение NT-SIEM, компоненты системы, направления развития, потоки данных. Установка системы. Написание правил</t>
        </is>
      </c>
      <c r="B1451" s="19" t="n"/>
      <c r="C1451" s="19" t="n"/>
      <c r="D1451" s="19" t="n"/>
      <c r="E1451" s="19" t="n"/>
      <c r="F1451" s="19" t="n"/>
      <c r="G1451" s="19" t="n"/>
    </row>
    <row r="1452" ht="26" customHeight="1">
      <c r="A1452" s="3" t="inlineStr">
        <is>
          <t>T-7CBDE232 · Программы: ОКБО</t>
        </is>
      </c>
      <c r="B1452" s="4" t="n"/>
      <c r="C1452" s="4" t="n"/>
      <c r="D1452" s="4" t="n"/>
      <c r="E1452" s="4" t="n"/>
      <c r="F1452" s="4" t="n"/>
      <c r="G1452" s="4" t="n"/>
    </row>
    <row r="1453" ht="27" customHeight="1">
      <c r="A1453" s="20" t="inlineStr">
        <is>
          <t>Вариант для: ОКБО</t>
        </is>
      </c>
      <c r="B1453" s="21" t="n"/>
      <c r="C1453" s="21" t="n"/>
      <c r="D1453" s="21" t="n"/>
      <c r="E1453" s="21" t="n"/>
      <c r="F1453" s="21" t="n"/>
      <c r="G1453" s="21" t="n"/>
    </row>
    <row r="1454" ht="31" customHeight="1">
      <c r="A1454" s="25" t="inlineStr">
        <is>
          <t>Содержание составлено из указанных фрагментов обновлённой программы. Название УТП отличается; соответствие требует проверки организатором.</t>
        </is>
      </c>
      <c r="B1454" s="26" t="n"/>
      <c r="C1454" s="26" t="n"/>
      <c r="D1454" s="26" t="n"/>
      <c r="E1454" s="26" t="n"/>
      <c r="F1454" s="26" t="n"/>
      <c r="G1454" s="26" t="n"/>
    </row>
    <row r="1455" ht="32" customHeight="1">
      <c r="A1455" s="22" t="inlineStr">
        <is>
          <t>Фрагмент: Тема 2. Архитектура, назначение NT SIEM. Установка и настройка основных компонентов (1 час практические занятия)</t>
        </is>
      </c>
      <c r="B1455" s="2" t="n"/>
      <c r="C1455" s="2" t="n"/>
      <c r="D1455" s="2" t="n"/>
      <c r="E1455" s="2" t="n"/>
      <c r="F1455" s="2" t="n"/>
      <c r="G1455" s="2" t="n"/>
    </row>
    <row r="1456" ht="48" customHeight="1">
      <c r="A1456" s="22" t="inlineStr">
        <is>
          <t>Рассмотрение архитектуры SIEM-системы на примере NT SIEM. Обзор архитектуры NT SIEM: collectors, parsers, storage, correlation engine, UI. Направления развития: масштабируемость, интеграция с XDR/SOAR. Установка базового стенда, подключение источников, проверка каналов.</t>
        </is>
      </c>
      <c r="B1456" s="2" t="n"/>
      <c r="C1456" s="2" t="n"/>
      <c r="D1456" s="2" t="n"/>
      <c r="E1456" s="2" t="n"/>
      <c r="F1456" s="2" t="n"/>
      <c r="G1456" s="2" t="n"/>
    </row>
    <row r="1457" ht="32" customHeight="1">
      <c r="A1457" s="22" t="inlineStr">
        <is>
          <t>Фрагмент: Тема 5. Нормализация событий, корреляция, обработка ложных событий (1 час практические занятия).</t>
        </is>
      </c>
      <c r="B1457" s="2" t="n"/>
      <c r="C1457" s="2" t="n"/>
      <c r="D1457" s="2" t="n"/>
      <c r="E1457" s="2" t="n"/>
      <c r="F1457" s="2" t="n"/>
      <c r="G1457" s="2" t="n"/>
    </row>
    <row r="1458" ht="32" customHeight="1">
      <c r="A1458" s="22" t="inlineStr">
        <is>
          <t>Создание простых правил нормализации и корреляции, тестирование оповещений и доставки триггеров.</t>
        </is>
      </c>
      <c r="B1458" s="2" t="n"/>
      <c r="C1458" s="2" t="n"/>
      <c r="D1458" s="2" t="n"/>
      <c r="E1458" s="2" t="n"/>
      <c r="F1458" s="2" t="n"/>
      <c r="G1458" s="2" t="n"/>
    </row>
    <row r="1459" ht="51" customHeight="1">
      <c r="A1459"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31</t>
        </is>
      </c>
      <c r="B1459" s="4" t="n"/>
      <c r="C1459" s="4" t="n"/>
      <c r="D1459" s="4" t="n"/>
      <c r="E1459" s="4" t="n"/>
      <c r="F1459" s="4" t="n"/>
      <c r="G1459" s="4" t="n"/>
    </row>
    <row r="1460" ht="46" customHeight="1">
      <c r="A1460" s="3" t="inlineStr">
        <is>
          <t>В программе: Тема 2. Архитектура, назначение NT SIEM. Установка и настройка основных компонентов (1 час практические занятия) / Тема 5. Нормализация событий, корреляция, обработка ложных событий (1 час практические занятия).</t>
        </is>
      </c>
      <c r="B1460" s="4" t="n"/>
      <c r="C1460" s="4" t="n"/>
      <c r="D1460" s="4" t="n"/>
      <c r="E1460" s="4" t="n"/>
      <c r="F1460" s="4" t="n"/>
      <c r="G1460" s="4" t="n"/>
    </row>
    <row r="1461" ht="25" customHeight="1">
      <c r="A1461" s="23" t="inlineStr">
        <is>
          <t>Исходная программа ОКБО ↗</t>
        </is>
      </c>
      <c r="D1461" s="23" t="inlineStr">
        <is>
          <t>Исходный УТП ОКБО ↗</t>
        </is>
      </c>
    </row>
    <row r="1462" ht="27" customHeight="1">
      <c r="A1462" s="24">
        <f>HYPERLINK("#'Выбор тем'!E"&amp;MATCH("T-7CBDE232",'Выбор тем'!$A:$A,0),"← Вернуться к теме")</f>
        <v/>
      </c>
    </row>
    <row r="1464" ht="38" customHeight="1">
      <c r="A1464" s="18" t="inlineStr">
        <is>
          <t>Назначение и функции ЦКБ, организация процессов в ЦКБ</t>
        </is>
      </c>
      <c r="B1464" s="19" t="n"/>
      <c r="C1464" s="19" t="n"/>
      <c r="D1464" s="19" t="n"/>
      <c r="E1464" s="19" t="n"/>
      <c r="F1464" s="19" t="n"/>
      <c r="G1464" s="19" t="n"/>
    </row>
    <row r="1465" ht="26" customHeight="1">
      <c r="A1465" s="3" t="inlineStr">
        <is>
          <t>T-B1B43BE0 · Программы: ОКБО</t>
        </is>
      </c>
      <c r="B1465" s="4" t="n"/>
      <c r="C1465" s="4" t="n"/>
      <c r="D1465" s="4" t="n"/>
      <c r="E1465" s="4" t="n"/>
      <c r="F1465" s="4" t="n"/>
      <c r="G1465" s="4" t="n"/>
    </row>
    <row r="1466" ht="27" customHeight="1">
      <c r="A1466" s="20" t="inlineStr">
        <is>
          <t>Вариант для: ОКБО</t>
        </is>
      </c>
      <c r="B1466" s="21" t="n"/>
      <c r="C1466" s="21" t="n"/>
      <c r="D1466" s="21" t="n"/>
      <c r="E1466" s="21" t="n"/>
      <c r="F1466" s="21" t="n"/>
      <c r="G1466" s="21" t="n"/>
    </row>
    <row r="1467" ht="80" customHeight="1">
      <c r="A1467" s="22" t="inlineStr">
        <is>
          <t>ЦКБ как централизованный центр сбора, мониторинга и реагирования на события ИБ. Сбор телеметрии, корреляция, Triage (первичная сортировка инцидентов), эскалация и ведение инцидентов. Организация процессов. Регламенты, playbooks, взаимодействие с ИТ и бизнес-подразделениями. Метрики эффективности. MTTD, MTTR, уровень ложных срабатываний, процент закрытых инцидентов. Интеграция с внешними источниками TI и внутренними системами (EDR, NGFW, TIP).</t>
        </is>
      </c>
      <c r="B1467" s="2" t="n"/>
      <c r="C1467" s="2" t="n"/>
      <c r="D1467" s="2" t="n"/>
      <c r="E1467" s="2" t="n"/>
      <c r="F1467" s="2" t="n"/>
      <c r="G1467" s="2" t="n"/>
    </row>
    <row r="1468" ht="51" customHeight="1">
      <c r="A1468"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14</t>
        </is>
      </c>
      <c r="B1468" s="4" t="n"/>
      <c r="C1468" s="4" t="n"/>
      <c r="D1468" s="4" t="n"/>
      <c r="E1468" s="4" t="n"/>
      <c r="F1468" s="4" t="n"/>
      <c r="G1468" s="4" t="n"/>
    </row>
    <row r="1469" ht="30" customHeight="1">
      <c r="A1469" s="3" t="inlineStr">
        <is>
          <t>В программе: Тема 1. Назначение и функции ЦКБ, организация процессов в ЦКБ (1 час лекции).</t>
        </is>
      </c>
      <c r="B1469" s="4" t="n"/>
      <c r="C1469" s="4" t="n"/>
      <c r="D1469" s="4" t="n"/>
      <c r="E1469" s="4" t="n"/>
      <c r="F1469" s="4" t="n"/>
      <c r="G1469" s="4" t="n"/>
    </row>
    <row r="1470" ht="25" customHeight="1">
      <c r="A1470" s="23" t="inlineStr">
        <is>
          <t>Исходная программа ОКБО ↗</t>
        </is>
      </c>
      <c r="D1470" s="23" t="inlineStr">
        <is>
          <t>Исходный УТП ОКБО ↗</t>
        </is>
      </c>
    </row>
    <row r="1471" ht="27" customHeight="1">
      <c r="A1471" s="24">
        <f>HYPERLINK("#'Выбор тем'!E"&amp;MATCH("T-B1B43BE0",'Выбор тем'!$A:$A,0),"← Вернуться к теме")</f>
        <v/>
      </c>
    </row>
    <row r="1473" ht="38" customHeight="1">
      <c r="A1473" s="18" t="inlineStr">
        <is>
          <t>Написание скриптов автоматического реагирования (Python, Bash)</t>
        </is>
      </c>
      <c r="B1473" s="19" t="n"/>
      <c r="C1473" s="19" t="n"/>
      <c r="D1473" s="19" t="n"/>
      <c r="E1473" s="19" t="n"/>
      <c r="F1473" s="19" t="n"/>
      <c r="G1473" s="19" t="n"/>
    </row>
    <row r="1474" ht="26" customHeight="1">
      <c r="A1474" s="3" t="inlineStr">
        <is>
          <t>T-DBE021AA · Программы: РКИОК</t>
        </is>
      </c>
      <c r="B1474" s="4" t="n"/>
      <c r="C1474" s="4" t="n"/>
      <c r="D1474" s="4" t="n"/>
      <c r="E1474" s="4" t="n"/>
      <c r="F1474" s="4" t="n"/>
      <c r="G1474" s="4" t="n"/>
    </row>
    <row r="1475" ht="27" customHeight="1">
      <c r="A1475" s="20" t="inlineStr">
        <is>
          <t>Вариант для: РКИОК</t>
        </is>
      </c>
      <c r="B1475" s="21" t="n"/>
      <c r="C1475" s="21" t="n"/>
      <c r="D1475" s="21" t="n"/>
      <c r="E1475" s="21" t="n"/>
      <c r="F1475" s="21" t="n"/>
      <c r="G1475" s="21" t="n"/>
    </row>
    <row r="1476" ht="48" customHeight="1">
      <c r="A1476" s="22" t="inlineStr">
        <is>
          <t>Логика автоматического реагирования. Что можно автоматизировать? Граница между автоматическим реагированием и ручной проверкой. Типовой pipeline.</t>
        </is>
      </c>
      <c r="B1476" s="2" t="n"/>
      <c r="C1476" s="2" t="n"/>
      <c r="D1476" s="2" t="n"/>
      <c r="E1476" s="2" t="n"/>
      <c r="F1476" s="2" t="n"/>
      <c r="G1476" s="2" t="n"/>
    </row>
    <row r="1477" ht="48" customHeight="1">
      <c r="A1477" s="22" t="inlineStr">
        <is>
          <t>Python для реагирования. Набор инструментария: requests (API), subprocess, json, работа с файлами, логирование. Получение IP из алерта (JSON). Интеграция с API на примере VirusTotal.</t>
        </is>
      </c>
      <c r="B1477" s="2" t="n"/>
      <c r="C1477" s="2" t="n"/>
      <c r="D1477" s="2" t="n"/>
      <c r="E1477" s="2" t="n"/>
      <c r="F1477" s="2" t="n"/>
      <c r="G1477" s="2" t="n"/>
    </row>
    <row r="1478" ht="32" customHeight="1">
      <c r="A1478" s="22" t="inlineStr">
        <is>
          <t>Bash для реагирования. Работа с межсетевым экранированием. Блокировка IP через iptables. Блокирование пользователя.</t>
        </is>
      </c>
      <c r="B1478" s="2" t="n"/>
      <c r="C1478" s="2" t="n"/>
      <c r="D1478" s="2" t="n"/>
      <c r="E1478" s="2" t="n"/>
      <c r="F1478" s="2" t="n"/>
      <c r="G1478" s="2" t="n"/>
    </row>
    <row r="1479" ht="51" customHeight="1">
      <c r="A1479"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30</t>
        </is>
      </c>
      <c r="B1479" s="4" t="n"/>
      <c r="C1479" s="4" t="n"/>
      <c r="D1479" s="4" t="n"/>
      <c r="E1479" s="4" t="n"/>
      <c r="F1479" s="4" t="n"/>
      <c r="G1479" s="4" t="n"/>
    </row>
    <row r="1480" ht="30" customHeight="1">
      <c r="A1480" s="3" t="inlineStr">
        <is>
          <t>В программе: Тема 2. Написание скриптов автоматического реагирования (Python, Bash) (1 час лекции).</t>
        </is>
      </c>
      <c r="B1480" s="4" t="n"/>
      <c r="C1480" s="4" t="n"/>
      <c r="D1480" s="4" t="n"/>
      <c r="E1480" s="4" t="n"/>
      <c r="F1480" s="4" t="n"/>
      <c r="G1480" s="4" t="n"/>
    </row>
    <row r="1481" ht="25" customHeight="1">
      <c r="A1481" s="23" t="inlineStr">
        <is>
          <t>Исходная программа РКИОК ↗</t>
        </is>
      </c>
      <c r="D1481" s="23" t="inlineStr">
        <is>
          <t>Исходный УТП РКИОК ↗</t>
        </is>
      </c>
    </row>
    <row r="1482" ht="27" customHeight="1">
      <c r="A1482" s="24">
        <f>HYPERLINK("#'Выбор тем'!E"&amp;MATCH("T-DBE021AA",'Выбор тем'!$A:$A,0),"← Вернуться к теме")</f>
        <v/>
      </c>
    </row>
    <row r="1484" ht="38" customHeight="1">
      <c r="A1484" s="18" t="inlineStr">
        <is>
          <t>Написание скриптов для сбора и анализа логов (Python)</t>
        </is>
      </c>
      <c r="B1484" s="19" t="n"/>
      <c r="C1484" s="19" t="n"/>
      <c r="D1484" s="19" t="n"/>
      <c r="E1484" s="19" t="n"/>
      <c r="F1484" s="19" t="n"/>
      <c r="G1484" s="19" t="n"/>
    </row>
    <row r="1485" ht="26" customHeight="1">
      <c r="A1485" s="3" t="inlineStr">
        <is>
          <t>T-E5761E9C · Программы: РКИОК</t>
        </is>
      </c>
      <c r="B1485" s="4" t="n"/>
      <c r="C1485" s="4" t="n"/>
      <c r="D1485" s="4" t="n"/>
      <c r="E1485" s="4" t="n"/>
      <c r="F1485" s="4" t="n"/>
      <c r="G1485" s="4" t="n"/>
    </row>
    <row r="1486" ht="27" customHeight="1">
      <c r="A1486" s="20" t="inlineStr">
        <is>
          <t>Вариант для: РКИОК</t>
        </is>
      </c>
      <c r="B1486" s="21" t="n"/>
      <c r="C1486" s="21" t="n"/>
      <c r="D1486" s="21" t="n"/>
      <c r="E1486" s="21" t="n"/>
      <c r="F1486" s="21" t="n"/>
      <c r="G1486" s="21" t="n"/>
    </row>
    <row r="1487" ht="48" customHeight="1">
      <c r="A1487" s="22" t="inlineStr">
        <is>
          <t>Архитектура аналитики логов. Структурированные и неструктурированные логи. Сбор логов на Python. Сканирование директорий. Игнорирование старых файлов.</t>
        </is>
      </c>
      <c r="B1487" s="2" t="n"/>
      <c r="C1487" s="2" t="n"/>
      <c r="D1487" s="2" t="n"/>
      <c r="E1487" s="2" t="n"/>
      <c r="F1487" s="2" t="n"/>
      <c r="G1487" s="2" t="n"/>
    </row>
    <row r="1488" ht="32" customHeight="1">
      <c r="A1488" s="22" t="inlineStr">
        <is>
          <t>Парсинг и разбор логов. Regex-парсинг. JSON-парсинг.</t>
        </is>
      </c>
      <c r="B1488" s="2" t="n"/>
      <c r="C1488" s="2" t="n"/>
      <c r="D1488" s="2" t="n"/>
      <c r="E1488" s="2" t="n"/>
      <c r="F1488" s="2" t="n"/>
      <c r="G1488" s="2" t="n"/>
    </row>
    <row r="1489" ht="32" customHeight="1">
      <c r="A1489" s="22" t="inlineStr">
        <is>
          <t>Анализ логов на базе Python-скрипта. Поиск сканирования. Поиск brute force атаки.</t>
        </is>
      </c>
      <c r="B1489" s="2" t="n"/>
      <c r="C1489" s="2" t="n"/>
      <c r="D1489" s="2" t="n"/>
      <c r="E1489" s="2" t="n"/>
      <c r="F1489" s="2" t="n"/>
      <c r="G1489" s="2" t="n"/>
    </row>
    <row r="1490" ht="51" customHeight="1">
      <c r="A1490"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31</t>
        </is>
      </c>
      <c r="B1490" s="4" t="n"/>
      <c r="C1490" s="4" t="n"/>
      <c r="D1490" s="4" t="n"/>
      <c r="E1490" s="4" t="n"/>
      <c r="F1490" s="4" t="n"/>
      <c r="G1490" s="4" t="n"/>
    </row>
    <row r="1491" ht="30" customHeight="1">
      <c r="A1491" s="3" t="inlineStr">
        <is>
          <t>В программе: Тема 3. Написание скриптов для сбора и анализа логов (Python) (2 часа лекции).</t>
        </is>
      </c>
      <c r="B1491" s="4" t="n"/>
      <c r="C1491" s="4" t="n"/>
      <c r="D1491" s="4" t="n"/>
      <c r="E1491" s="4" t="n"/>
      <c r="F1491" s="4" t="n"/>
      <c r="G1491" s="4" t="n"/>
    </row>
    <row r="1492" ht="25" customHeight="1">
      <c r="A1492" s="23" t="inlineStr">
        <is>
          <t>Исходная программа РКИОК ↗</t>
        </is>
      </c>
      <c r="D1492" s="23" t="inlineStr">
        <is>
          <t>Исходный УТП РКИОК ↗</t>
        </is>
      </c>
    </row>
    <row r="1493" ht="27" customHeight="1">
      <c r="A1493" s="24">
        <f>HYPERLINK("#'Выбор тем'!E"&amp;MATCH("T-E5761E9C",'Выбор тем'!$A:$A,0),"← Вернуться к теме")</f>
        <v/>
      </c>
    </row>
    <row r="1495" ht="38" customHeight="1">
      <c r="A1495" s="18" t="inlineStr">
        <is>
          <t>Настройка MFA, реализация доступа по ролям /чтение/запись/временный</t>
        </is>
      </c>
      <c r="B1495" s="19" t="n"/>
      <c r="C1495" s="19" t="n"/>
      <c r="D1495" s="19" t="n"/>
      <c r="E1495" s="19" t="n"/>
      <c r="F1495" s="19" t="n"/>
      <c r="G1495" s="19" t="n"/>
    </row>
    <row r="1496" ht="26" customHeight="1">
      <c r="A1496" s="3" t="inlineStr">
        <is>
          <t>T-78A918BC · Программы: ОКБО</t>
        </is>
      </c>
      <c r="B1496" s="4" t="n"/>
      <c r="C1496" s="4" t="n"/>
      <c r="D1496" s="4" t="n"/>
      <c r="E1496" s="4" t="n"/>
      <c r="F1496" s="4" t="n"/>
      <c r="G1496" s="4" t="n"/>
    </row>
    <row r="1497" ht="27" customHeight="1">
      <c r="A1497" s="20" t="inlineStr">
        <is>
          <t>Вариант для: ОКБО</t>
        </is>
      </c>
      <c r="B1497" s="21" t="n"/>
      <c r="C1497" s="21" t="n"/>
      <c r="D1497" s="21" t="n"/>
      <c r="E1497" s="21" t="n"/>
      <c r="F1497" s="21" t="n"/>
      <c r="G1497" s="21" t="n"/>
    </row>
    <row r="1498" ht="64" customHeight="1">
      <c r="A1498" s="22" t="inlineStr">
        <is>
          <t>Настройка системы MFA. Установка и использование мобильного приложения MFA. Настройка системы управления MFA (добавление в MFA пользователей и используемых ими способов аутентификации, подключение к MFA ресурсов: Windows Server и OpenVPN Server). Организация защиты локального и удаленного доступа к OС Windows. Организация защиты удаленного подключения к инфраструктуре предприятия через OpenVPN.</t>
        </is>
      </c>
      <c r="B1498" s="2" t="n"/>
      <c r="C1498" s="2" t="n"/>
      <c r="D1498" s="2" t="n"/>
      <c r="E1498" s="2" t="n"/>
      <c r="F1498" s="2" t="n"/>
      <c r="G1498" s="2" t="n"/>
    </row>
    <row r="1499" ht="51" customHeight="1">
      <c r="A1499" s="3" t="inlineStr">
        <is>
          <t>ОКБО — Обеспечение кибербезопасности организаций
Раздел: Управление доступом и аутентификация · УТП: таблица 2, строка 26</t>
        </is>
      </c>
      <c r="B1499" s="4" t="n"/>
      <c r="C1499" s="4" t="n"/>
      <c r="D1499" s="4" t="n"/>
      <c r="E1499" s="4" t="n"/>
      <c r="F1499" s="4" t="n"/>
      <c r="G1499" s="4" t="n"/>
    </row>
    <row r="1500" ht="30" customHeight="1">
      <c r="A1500" s="3" t="inlineStr">
        <is>
          <t>В программе: Тема 4. Настройка MFA, реализация доступа по ролям /чтение/запись/временный (5 часов практические занятия).</t>
        </is>
      </c>
      <c r="B1500" s="4" t="n"/>
      <c r="C1500" s="4" t="n"/>
      <c r="D1500" s="4" t="n"/>
      <c r="E1500" s="4" t="n"/>
      <c r="F1500" s="4" t="n"/>
      <c r="G1500" s="4" t="n"/>
    </row>
    <row r="1501" ht="25" customHeight="1">
      <c r="A1501" s="23" t="inlineStr">
        <is>
          <t>Исходная программа ОКБО ↗</t>
        </is>
      </c>
      <c r="D1501" s="23" t="inlineStr">
        <is>
          <t>Исходный УТП ОКБО ↗</t>
        </is>
      </c>
    </row>
    <row r="1502" ht="27" customHeight="1">
      <c r="A1502" s="24">
        <f>HYPERLINK("#'Выбор тем'!E"&amp;MATCH("T-78A918BC",'Выбор тем'!$A:$A,0),"← Вернуться к теме")</f>
        <v/>
      </c>
    </row>
    <row r="1504" ht="38" customHeight="1">
      <c r="A1504" s="18" t="inlineStr">
        <is>
          <t>Национальная система обеспечения кибербезопасности</t>
        </is>
      </c>
      <c r="B1504" s="19" t="n"/>
      <c r="C1504" s="19" t="n"/>
      <c r="D1504" s="19" t="n"/>
      <c r="E1504" s="19" t="n"/>
      <c r="F1504" s="19" t="n"/>
      <c r="G1504" s="19" t="n"/>
    </row>
    <row r="1505" ht="26" customHeight="1">
      <c r="A1505" s="3" t="inlineStr">
        <is>
          <t>T-C263D4D0 · Программы: АКБ, АУРИК, БКТ, ЗИКС, ЗИОЗ, КВОИ, ККС, КО, ОКМ, ОПКС, ТК</t>
        </is>
      </c>
      <c r="B1505" s="4" t="n"/>
      <c r="C1505" s="4" t="n"/>
      <c r="D1505" s="4" t="n"/>
      <c r="E1505" s="4" t="n"/>
      <c r="F1505" s="4" t="n"/>
      <c r="G1505" s="4" t="n"/>
    </row>
    <row r="1506" ht="27" customHeight="1">
      <c r="A1506" s="20" t="inlineStr">
        <is>
          <t>Вариант для: АКБ, БКТ, ККС, ОКМ, ОПКС, ТК</t>
        </is>
      </c>
      <c r="B1506" s="21" t="n"/>
      <c r="C1506" s="21" t="n"/>
      <c r="D1506" s="21" t="n"/>
      <c r="E1506" s="21" t="n"/>
      <c r="F1506" s="21" t="n"/>
      <c r="G1506" s="21" t="n"/>
    </row>
    <row r="1507" ht="32" customHeight="1">
      <c r="A1507" s="22" t="inlineStr">
        <is>
          <t>Структура и задачи национальной системы обеспечения кибербезопасности.</t>
        </is>
      </c>
      <c r="B1507" s="2" t="n"/>
      <c r="C1507" s="2" t="n"/>
      <c r="D1507" s="2" t="n"/>
      <c r="E1507" s="2" t="n"/>
      <c r="F1507" s="2" t="n"/>
      <c r="G1507" s="2" t="n"/>
    </row>
    <row r="1508" ht="80" customHeight="1">
      <c r="A1508" s="22"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08" s="2" t="n"/>
      <c r="C1508" s="2" t="n"/>
      <c r="D1508" s="2" t="n"/>
      <c r="E1508" s="2" t="n"/>
      <c r="F1508" s="2" t="n"/>
      <c r="G1508" s="2" t="n"/>
    </row>
    <row r="1509" ht="32" customHeight="1">
      <c r="A1509" s="22" t="inlineStr">
        <is>
          <t>Информационное взаимодействие элементов национальной системы обеспечения кибербезопасности.</t>
        </is>
      </c>
      <c r="B1509" s="2" t="n"/>
      <c r="C1509" s="2" t="n"/>
      <c r="D1509" s="2" t="n"/>
      <c r="E1509" s="2" t="n"/>
      <c r="F1509" s="2" t="n"/>
      <c r="G1509" s="2" t="n"/>
    </row>
    <row r="1510" ht="32" customHeight="1">
      <c r="A1510" s="22" t="inlineStr">
        <is>
          <t>Вопросы круглого стола:</t>
        </is>
      </c>
      <c r="B1510" s="2" t="n"/>
      <c r="C1510" s="2" t="n"/>
      <c r="D1510" s="2" t="n"/>
      <c r="E1510" s="2" t="n"/>
      <c r="F1510" s="2" t="n"/>
      <c r="G1510" s="2" t="n"/>
    </row>
    <row r="1511" ht="48" customHeight="1">
      <c r="A1511" s="22" t="inlineStr">
        <is>
          <t>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t>
        </is>
      </c>
      <c r="B1511" s="2" t="n"/>
      <c r="C1511" s="2" t="n"/>
      <c r="D1511" s="2" t="n"/>
      <c r="E1511" s="2" t="n"/>
      <c r="F1511" s="2" t="n"/>
      <c r="G1511" s="2" t="n"/>
    </row>
    <row r="1512" ht="32" customHeight="1">
      <c r="A1512" s="22" t="inlineStr">
        <is>
          <t>Порядок предоставления сведений о киберинцидентах, состоянии технической и криптографической защиты информации.</t>
        </is>
      </c>
      <c r="B1512" s="2" t="n"/>
      <c r="C1512" s="2" t="n"/>
      <c r="D1512" s="2" t="n"/>
      <c r="E1512" s="2" t="n"/>
      <c r="F1512" s="2" t="n"/>
      <c r="G1512" s="2" t="n"/>
    </row>
    <row r="1513" ht="32" customHeight="1">
      <c r="A1513" s="22" t="inlineStr">
        <is>
          <t>Способы информационного взаимодействия элементов национальной системы обеспечения кибербезопасности.</t>
        </is>
      </c>
      <c r="B1513" s="2" t="n"/>
      <c r="C1513" s="2" t="n"/>
      <c r="D1513" s="2" t="n"/>
      <c r="E1513" s="2" t="n"/>
      <c r="F1513" s="2" t="n"/>
      <c r="G1513" s="2" t="n"/>
    </row>
    <row r="1514" ht="32" customHeight="1">
      <c r="A1514" s="22" t="inlineStr">
        <is>
          <t>Обмен сведениями с иностранными организациями.</t>
        </is>
      </c>
      <c r="B1514" s="2" t="n"/>
      <c r="C1514" s="2" t="n"/>
      <c r="D1514" s="2" t="n"/>
      <c r="E1514" s="2" t="n"/>
      <c r="F1514" s="2" t="n"/>
      <c r="G1514" s="2" t="n"/>
    </row>
    <row r="1515" ht="51" customHeight="1">
      <c r="A1515" s="3" t="inlineStr">
        <is>
          <t>АКБ — Администратор кибербезопасности
Раздел: Законодательство в области обеспечения кибербезопасности · УТП: таблица 2, строка 7</t>
        </is>
      </c>
      <c r="B1515" s="4" t="n"/>
      <c r="C1515" s="4" t="n"/>
      <c r="D1515" s="4" t="n"/>
      <c r="E1515" s="4" t="n"/>
      <c r="F1515" s="4" t="n"/>
      <c r="G1515" s="4" t="n"/>
    </row>
    <row r="1516" ht="30" customHeight="1">
      <c r="A1516" s="3" t="inlineStr">
        <is>
          <t>В программе: Тема 2. Национальная система обеспечения кибербезопасности (2 часа лекции, 2 часа круглый стол).</t>
        </is>
      </c>
      <c r="B1516" s="4" t="n"/>
      <c r="C1516" s="4" t="n"/>
      <c r="D1516" s="4" t="n"/>
      <c r="E1516" s="4" t="n"/>
      <c r="F1516" s="4" t="n"/>
      <c r="G1516" s="4" t="n"/>
    </row>
    <row r="1517" ht="25" customHeight="1">
      <c r="A1517" s="23" t="inlineStr">
        <is>
          <t>Исходная программа АКБ ↗</t>
        </is>
      </c>
      <c r="D1517" s="23" t="inlineStr">
        <is>
          <t>Исходный УТП АКБ ↗</t>
        </is>
      </c>
    </row>
    <row r="1518" ht="51" customHeight="1">
      <c r="A1518" s="3" t="inlineStr">
        <is>
          <t>БКТ — Безопасность компьютерных технологий
Раздел: Законодательство в области обеспечения кибербезопасности · УТП: таблица 2, строка 7</t>
        </is>
      </c>
      <c r="B1518" s="4" t="n"/>
      <c r="C1518" s="4" t="n"/>
      <c r="D1518" s="4" t="n"/>
      <c r="E1518" s="4" t="n"/>
      <c r="F1518" s="4" t="n"/>
      <c r="G1518" s="4" t="n"/>
    </row>
    <row r="1519" ht="30" customHeight="1">
      <c r="A1519" s="3" t="inlineStr">
        <is>
          <t>В программе: Тема 2. Национальная система обеспечения кибербезопасности (3 часа лекции, 1 час круглый стол).</t>
        </is>
      </c>
      <c r="B1519" s="4" t="n"/>
      <c r="C1519" s="4" t="n"/>
      <c r="D1519" s="4" t="n"/>
      <c r="E1519" s="4" t="n"/>
      <c r="F1519" s="4" t="n"/>
      <c r="G1519" s="4" t="n"/>
    </row>
    <row r="1520" ht="25" customHeight="1">
      <c r="A1520" s="23" t="inlineStr">
        <is>
          <t>Исходная программа БКТ ↗</t>
        </is>
      </c>
      <c r="D1520" s="23" t="inlineStr">
        <is>
          <t>Исходный УТП БКТ ↗</t>
        </is>
      </c>
    </row>
    <row r="1521" ht="51" customHeight="1">
      <c r="A1521" s="3" t="inlineStr">
        <is>
          <t>ККС — Кибербезопасность корпоративных систем
Раздел: Основы обеспечения кибербезопасности. Законодательство в области обеспечения кибербезопасности · УТП: таблица 2, строка 8</t>
        </is>
      </c>
      <c r="B1521" s="4" t="n"/>
      <c r="C1521" s="4" t="n"/>
      <c r="D1521" s="4" t="n"/>
      <c r="E1521" s="4" t="n"/>
      <c r="F1521" s="4" t="n"/>
      <c r="G1521" s="4" t="n"/>
    </row>
    <row r="1522" ht="30" customHeight="1">
      <c r="A1522" s="3" t="inlineStr">
        <is>
          <t>В программе: Тема 3. Национальная система обеспечения кибербезопасности (2 часа лекции, 2 часа круглый стол).</t>
        </is>
      </c>
      <c r="B1522" s="4" t="n"/>
      <c r="C1522" s="4" t="n"/>
      <c r="D1522" s="4" t="n"/>
      <c r="E1522" s="4" t="n"/>
      <c r="F1522" s="4" t="n"/>
      <c r="G1522" s="4" t="n"/>
    </row>
    <row r="1523" ht="25" customHeight="1">
      <c r="A1523" s="23" t="inlineStr">
        <is>
          <t>Исходная программа ККС ↗</t>
        </is>
      </c>
      <c r="D1523" s="23" t="inlineStr">
        <is>
          <t>Исходный УТП ККС ↗</t>
        </is>
      </c>
    </row>
    <row r="1524" ht="51" customHeight="1">
      <c r="A1524"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7</t>
        </is>
      </c>
      <c r="B1524" s="4" t="n"/>
      <c r="C1524" s="4" t="n"/>
      <c r="D1524" s="4" t="n"/>
      <c r="E1524" s="4" t="n"/>
      <c r="F1524" s="4" t="n"/>
      <c r="G1524" s="4" t="n"/>
    </row>
    <row r="1525" ht="30" customHeight="1">
      <c r="A1525" s="3" t="inlineStr">
        <is>
          <t>В программе: Тема 2. Национальная система обеспечения кибербезопасности (2 часа лекции, 2 часа круглый стол).</t>
        </is>
      </c>
      <c r="B1525" s="4" t="n"/>
      <c r="C1525" s="4" t="n"/>
      <c r="D1525" s="4" t="n"/>
      <c r="E1525" s="4" t="n"/>
      <c r="F1525" s="4" t="n"/>
      <c r="G1525" s="4" t="n"/>
    </row>
    <row r="1526" ht="25" customHeight="1">
      <c r="A1526" s="23" t="inlineStr">
        <is>
          <t>Исходная программа ОКМ ↗</t>
        </is>
      </c>
      <c r="D1526" s="23" t="inlineStr">
        <is>
          <t>Исходный УТП ОКМ ↗</t>
        </is>
      </c>
    </row>
    <row r="1527" ht="51" customHeight="1">
      <c r="A1527"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19</t>
        </is>
      </c>
      <c r="B1527" s="4" t="n"/>
      <c r="C1527" s="4" t="n"/>
      <c r="D1527" s="4" t="n"/>
      <c r="E1527" s="4" t="n"/>
      <c r="F1527" s="4" t="n"/>
      <c r="G1527" s="4" t="n"/>
    </row>
    <row r="1528" ht="30" customHeight="1">
      <c r="A1528" s="3" t="inlineStr">
        <is>
          <t>В программе: Тема 2. Национальная система обеспечения кибербезопасности (2 часа лекции, 2 часа круглый стол).</t>
        </is>
      </c>
      <c r="B1528" s="4" t="n"/>
      <c r="C1528" s="4" t="n"/>
      <c r="D1528" s="4" t="n"/>
      <c r="E1528" s="4" t="n"/>
      <c r="F1528" s="4" t="n"/>
      <c r="G1528" s="4" t="n"/>
    </row>
    <row r="1529" ht="25" customHeight="1">
      <c r="A1529" s="23" t="inlineStr">
        <is>
          <t>Исходная программа ОПКС ↗</t>
        </is>
      </c>
      <c r="D1529" s="23" t="inlineStr">
        <is>
          <t>Исходный УТП ОПКС ↗</t>
        </is>
      </c>
    </row>
    <row r="1530" ht="51" customHeight="1">
      <c r="A1530" s="3" t="inlineStr">
        <is>
          <t>ТК — Технологии кибербезопасности: от spoofing-атак до VPN и межсетевых экранов
Раздел: Законодательство в области обеспечения кибербезопасности · УТП: таблица 2, строка 7</t>
        </is>
      </c>
      <c r="B1530" s="4" t="n"/>
      <c r="C1530" s="4" t="n"/>
      <c r="D1530" s="4" t="n"/>
      <c r="E1530" s="4" t="n"/>
      <c r="F1530" s="4" t="n"/>
      <c r="G1530" s="4" t="n"/>
    </row>
    <row r="1531" ht="30" customHeight="1">
      <c r="A1531" s="3" t="inlineStr">
        <is>
          <t>В программе: Тема 2. Национальная система обеспечения кибербезопасности (2 часа лекции, 2 часа круглый стол).</t>
        </is>
      </c>
      <c r="B1531" s="4" t="n"/>
      <c r="C1531" s="4" t="n"/>
      <c r="D1531" s="4" t="n"/>
      <c r="E1531" s="4" t="n"/>
      <c r="F1531" s="4" t="n"/>
      <c r="G1531" s="4" t="n"/>
    </row>
    <row r="1532" ht="25" customHeight="1">
      <c r="A1532" s="23" t="inlineStr">
        <is>
          <t>Исходная программа ТК ↗</t>
        </is>
      </c>
      <c r="D1532" s="23" t="inlineStr">
        <is>
          <t>Исходный УТП ТК ↗</t>
        </is>
      </c>
    </row>
    <row r="1533" ht="27" customHeight="1">
      <c r="A1533" s="20" t="inlineStr">
        <is>
          <t>Вариант для: АУРИК, ЗИКС, КВОИ</t>
        </is>
      </c>
      <c r="B1533" s="21" t="n"/>
      <c r="C1533" s="21" t="n"/>
      <c r="D1533" s="21" t="n"/>
      <c r="E1533" s="21" t="n"/>
      <c r="F1533" s="21" t="n"/>
      <c r="G1533" s="21" t="n"/>
    </row>
    <row r="1534" ht="32" customHeight="1">
      <c r="A1534" s="22" t="inlineStr">
        <is>
          <t>Структура и задачи национальной системы обеспечения кибербезопасности.</t>
        </is>
      </c>
      <c r="B1534" s="2" t="n"/>
      <c r="C1534" s="2" t="n"/>
      <c r="D1534" s="2" t="n"/>
      <c r="E1534" s="2" t="n"/>
      <c r="F1534" s="2" t="n"/>
      <c r="G1534" s="2" t="n"/>
    </row>
    <row r="1535" ht="80" customHeight="1">
      <c r="A1535" s="22"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35" s="2" t="n"/>
      <c r="C1535" s="2" t="n"/>
      <c r="D1535" s="2" t="n"/>
      <c r="E1535" s="2" t="n"/>
      <c r="F1535" s="2" t="n"/>
      <c r="G1535" s="2" t="n"/>
    </row>
    <row r="1536" ht="32" customHeight="1">
      <c r="A1536" s="22" t="inlineStr">
        <is>
          <t>Информационное взаимодействие элементов национальной системы обеспечения кибербезопасности.</t>
        </is>
      </c>
      <c r="B1536" s="2" t="n"/>
      <c r="C1536" s="2" t="n"/>
      <c r="D1536" s="2" t="n"/>
      <c r="E1536" s="2" t="n"/>
      <c r="F1536" s="2" t="n"/>
      <c r="G1536" s="2" t="n"/>
    </row>
    <row r="1537" ht="64" customHeight="1">
      <c r="A1537" s="22" t="inlineStr">
        <is>
          <t>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 с иностранными организациями.</t>
        </is>
      </c>
      <c r="B1537" s="2" t="n"/>
      <c r="C1537" s="2" t="n"/>
      <c r="D1537" s="2" t="n"/>
      <c r="E1537" s="2" t="n"/>
      <c r="F1537" s="2" t="n"/>
      <c r="G1537" s="2" t="n"/>
    </row>
    <row r="1538" ht="51" customHeight="1">
      <c r="A1538" s="3" t="inlineStr">
        <is>
          <t>АУРИК — Аудит, управление рисками и инцидентами кибербезопасности
Раздел: Законодательство в области обеспечения кибербезопасности · УТП: таблица 2, строка 7</t>
        </is>
      </c>
      <c r="B1538" s="4" t="n"/>
      <c r="C1538" s="4" t="n"/>
      <c r="D1538" s="4" t="n"/>
      <c r="E1538" s="4" t="n"/>
      <c r="F1538" s="4" t="n"/>
      <c r="G1538" s="4" t="n"/>
    </row>
    <row r="1539" ht="30" customHeight="1">
      <c r="A1539" s="3" t="inlineStr">
        <is>
          <t>В программе: Тема 2. Национальная система обеспечения кибербезопасности (2 часа лекции, 2 часа круглый стол).</t>
        </is>
      </c>
      <c r="B1539" s="4" t="n"/>
      <c r="C1539" s="4" t="n"/>
      <c r="D1539" s="4" t="n"/>
      <c r="E1539" s="4" t="n"/>
      <c r="F1539" s="4" t="n"/>
      <c r="G1539" s="4" t="n"/>
    </row>
    <row r="1540" ht="25" customHeight="1">
      <c r="A1540" s="23" t="inlineStr">
        <is>
          <t>Исходная программа АУРИК ↗</t>
        </is>
      </c>
      <c r="D1540" s="23" t="inlineStr">
        <is>
          <t>Исходный УТП АУРИК ↗</t>
        </is>
      </c>
    </row>
    <row r="1541" ht="51" customHeight="1">
      <c r="A1541" s="3" t="inlineStr">
        <is>
          <t>ЗИКС — Защита информации в корпоративных системах
Раздел: Законодательство в области обеспечения кибербезопасности. · УТП: таблица 2, строка 7</t>
        </is>
      </c>
      <c r="B1541" s="4" t="n"/>
      <c r="C1541" s="4" t="n"/>
      <c r="D1541" s="4" t="n"/>
      <c r="E1541" s="4" t="n"/>
      <c r="F1541" s="4" t="n"/>
      <c r="G1541" s="4" t="n"/>
    </row>
    <row r="1542" ht="30" customHeight="1">
      <c r="A1542" s="3" t="inlineStr">
        <is>
          <t>В программе: Тема 2. Национальная система обеспечения кибербезопасности 
(2 часа лекции, 2 часа круглый стол).</t>
        </is>
      </c>
      <c r="B1542" s="4" t="n"/>
      <c r="C1542" s="4" t="n"/>
      <c r="D1542" s="4" t="n"/>
      <c r="E1542" s="4" t="n"/>
      <c r="F1542" s="4" t="n"/>
      <c r="G1542" s="4" t="n"/>
    </row>
    <row r="1543" ht="25" customHeight="1">
      <c r="A1543" s="23" t="inlineStr">
        <is>
          <t>Исходная программа ЗИКС ↗</t>
        </is>
      </c>
      <c r="D1543" s="23" t="inlineStr">
        <is>
          <t>Исходный УТП ЗИКС ↗</t>
        </is>
      </c>
    </row>
    <row r="1544" ht="51" customHeight="1">
      <c r="A1544" s="3" t="inlineStr">
        <is>
          <t>КВОИ — Кибербезопасность критически важных объектов информатизации
Раздел: Законодательство в области обеспечения кибербезопасности · УТП: таблица 2, строка 7</t>
        </is>
      </c>
      <c r="B1544" s="4" t="n"/>
      <c r="C1544" s="4" t="n"/>
      <c r="D1544" s="4" t="n"/>
      <c r="E1544" s="4" t="n"/>
      <c r="F1544" s="4" t="n"/>
      <c r="G1544" s="4" t="n"/>
    </row>
    <row r="1545" ht="30" customHeight="1">
      <c r="A1545" s="3" t="inlineStr">
        <is>
          <t>В программе: Тема 2. Национальная система обеспечения кибербезопасности (4 часа лекции).</t>
        </is>
      </c>
      <c r="B1545" s="4" t="n"/>
      <c r="C1545" s="4" t="n"/>
      <c r="D1545" s="4" t="n"/>
      <c r="E1545" s="4" t="n"/>
      <c r="F1545" s="4" t="n"/>
      <c r="G1545" s="4" t="n"/>
    </row>
    <row r="1546" ht="25" customHeight="1">
      <c r="A1546" s="23" t="inlineStr">
        <is>
          <t>Исходная программа КВОИ ↗</t>
        </is>
      </c>
      <c r="D1546" s="23" t="inlineStr">
        <is>
          <t>Исходный УТП КВОИ ↗</t>
        </is>
      </c>
    </row>
    <row r="1547" ht="27" customHeight="1">
      <c r="A1547" s="20" t="inlineStr">
        <is>
          <t>Вариант для: ЗИОЗ</t>
        </is>
      </c>
      <c r="B1547" s="21" t="n"/>
      <c r="C1547" s="21" t="n"/>
      <c r="D1547" s="21" t="n"/>
      <c r="E1547" s="21" t="n"/>
      <c r="F1547" s="21" t="n"/>
      <c r="G1547" s="21" t="n"/>
    </row>
    <row r="1548" ht="32" customHeight="1">
      <c r="A1548" s="22" t="inlineStr">
        <is>
          <t>Структура и задачи национальной системы обеспечения кибербезопасности.</t>
        </is>
      </c>
      <c r="B1548" s="2" t="n"/>
      <c r="C1548" s="2" t="n"/>
      <c r="D1548" s="2" t="n"/>
      <c r="E1548" s="2" t="n"/>
      <c r="F1548" s="2" t="n"/>
      <c r="G1548" s="2" t="n"/>
    </row>
    <row r="1549" ht="48" customHeight="1">
      <c r="A1549" s="22" t="inlineStr">
        <is>
          <t>Элементы национальной системы обеспечения кибербезопасности, 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t>
        </is>
      </c>
      <c r="B1549" s="2" t="n"/>
      <c r="C1549" s="2" t="n"/>
      <c r="D1549" s="2" t="n"/>
      <c r="E1549" s="2" t="n"/>
      <c r="F1549" s="2" t="n"/>
      <c r="G1549" s="2" t="n"/>
    </row>
    <row r="1550" ht="48" customHeight="1">
      <c r="A1550" s="22" t="inlineStr">
        <is>
          <t>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50" s="2" t="n"/>
      <c r="C1550" s="2" t="n"/>
      <c r="D1550" s="2" t="n"/>
      <c r="E1550" s="2" t="n"/>
      <c r="F1550" s="2" t="n"/>
      <c r="G1550" s="2" t="n"/>
    </row>
    <row r="1551" ht="48" customHeight="1">
      <c r="A1551" s="22" t="inlineStr">
        <is>
          <t>Информационное взаимодействие элементов национальной системы обеспечения кибербезопасности. Организация информационного взаимодействия с Оперативно-аналитическим центром при Президенте Республики Беларусь и Национальным центром кибербезопасности.</t>
        </is>
      </c>
      <c r="B1551" s="2" t="n"/>
      <c r="C1551" s="2" t="n"/>
      <c r="D1551" s="2" t="n"/>
      <c r="E1551" s="2" t="n"/>
      <c r="F1551" s="2" t="n"/>
      <c r="G1551" s="2" t="n"/>
    </row>
    <row r="1552" ht="48" customHeight="1">
      <c r="A1552" s="22" t="inlineStr">
        <is>
          <t>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t>
        </is>
      </c>
      <c r="B1552" s="2" t="n"/>
      <c r="C1552" s="2" t="n"/>
      <c r="D1552" s="2" t="n"/>
      <c r="E1552" s="2" t="n"/>
      <c r="F1552" s="2" t="n"/>
      <c r="G1552" s="2" t="n"/>
    </row>
    <row r="1553" ht="32" customHeight="1">
      <c r="A1553" s="22" t="inlineStr">
        <is>
          <t>Обмен сведениями с иностранными организациями.</t>
        </is>
      </c>
      <c r="B1553" s="2" t="n"/>
      <c r="C1553" s="2" t="n"/>
      <c r="D1553" s="2" t="n"/>
      <c r="E1553" s="2" t="n"/>
      <c r="F1553" s="2" t="n"/>
      <c r="G1553" s="2" t="n"/>
    </row>
    <row r="1554" ht="32" customHeight="1">
      <c r="A1554" s="22" t="inlineStr">
        <is>
          <t>Вопросы тематической дискуссии:</t>
        </is>
      </c>
      <c r="B1554" s="2" t="n"/>
      <c r="C1554" s="2" t="n"/>
      <c r="D1554" s="2" t="n"/>
      <c r="E1554" s="2" t="n"/>
      <c r="F1554" s="2" t="n"/>
      <c r="G1554" s="2" t="n"/>
    </row>
    <row r="1555" ht="32" customHeight="1">
      <c r="A1555" s="22" t="inlineStr">
        <is>
          <t>Особенности организации информационного взаимодействия субъектов национальной системы обеспечения кибербезопасности.</t>
        </is>
      </c>
      <c r="B1555" s="2" t="n"/>
      <c r="C1555" s="2" t="n"/>
      <c r="D1555" s="2" t="n"/>
      <c r="E1555" s="2" t="n"/>
      <c r="F1555" s="2" t="n"/>
      <c r="G1555" s="2" t="n"/>
    </row>
    <row r="1556" ht="32" customHeight="1">
      <c r="A1556" s="22" t="inlineStr">
        <is>
          <t>Практические аспекты предоставления сведений о киберинцидентах, состоянии технической и криптографической защиты информации.</t>
        </is>
      </c>
      <c r="B1556" s="2" t="n"/>
      <c r="C1556" s="2" t="n"/>
      <c r="D1556" s="2" t="n"/>
      <c r="E1556" s="2" t="n"/>
      <c r="F1556" s="2" t="n"/>
      <c r="G1556" s="2" t="n"/>
    </row>
    <row r="1557" ht="32" customHeight="1">
      <c r="A1557" s="22" t="inlineStr">
        <is>
          <t>Риски несвоевременного или неполного обмена информацией при выявлении и реагировании на киберинциденты.</t>
        </is>
      </c>
      <c r="B1557" s="2" t="n"/>
      <c r="C1557" s="2" t="n"/>
      <c r="D1557" s="2" t="n"/>
      <c r="E1557" s="2" t="n"/>
      <c r="F1557" s="2" t="n"/>
      <c r="G1557" s="2" t="n"/>
    </row>
    <row r="1558" ht="32" customHeight="1">
      <c r="A1558" s="22" t="inlineStr">
        <is>
          <t>Роль центров кибербезопасности в координации информационного взаимодействия и повышении устойчивости объектов информационной инфраструктуры.</t>
        </is>
      </c>
      <c r="B1558" s="2" t="n"/>
      <c r="C1558" s="2" t="n"/>
      <c r="D1558" s="2" t="n"/>
      <c r="E1558" s="2" t="n"/>
      <c r="F1558" s="2" t="n"/>
      <c r="G1558" s="2" t="n"/>
    </row>
    <row r="1559" ht="51" customHeight="1">
      <c r="A1559" s="3" t="inlineStr">
        <is>
          <t>ЗИОЗ — Защита информационной инфраструктуры организаций здравоохранения
Раздел: Законодательство в области обеспечения кибербезопасности · УТП: таблица 2, строка 7</t>
        </is>
      </c>
      <c r="B1559" s="4" t="n"/>
      <c r="C1559" s="4" t="n"/>
      <c r="D1559" s="4" t="n"/>
      <c r="E1559" s="4" t="n"/>
      <c r="F1559" s="4" t="n"/>
      <c r="G1559" s="4" t="n"/>
    </row>
    <row r="1560" ht="30" customHeight="1">
      <c r="A1560" s="3" t="inlineStr">
        <is>
          <t>В программе: Тема 2. Национальная система обеспечения кибербезопасности (3 часа лекции, 1 час тематическая дискуссия).</t>
        </is>
      </c>
      <c r="B1560" s="4" t="n"/>
      <c r="C1560" s="4" t="n"/>
      <c r="D1560" s="4" t="n"/>
      <c r="E1560" s="4" t="n"/>
      <c r="F1560" s="4" t="n"/>
      <c r="G1560" s="4" t="n"/>
    </row>
    <row r="1561" ht="25" customHeight="1">
      <c r="A1561" s="23" t="inlineStr">
        <is>
          <t>Исходная программа ЗИОЗ ↗</t>
        </is>
      </c>
      <c r="D1561" s="23" t="inlineStr">
        <is>
          <t>Исходный УТП ЗИОЗ ↗</t>
        </is>
      </c>
    </row>
    <row r="1562" ht="27" customHeight="1">
      <c r="A1562" s="20" t="inlineStr">
        <is>
          <t>Вариант для: КО</t>
        </is>
      </c>
      <c r="B1562" s="21" t="n"/>
      <c r="C1562" s="21" t="n"/>
      <c r="D1562" s="21" t="n"/>
      <c r="E1562" s="21" t="n"/>
      <c r="F1562" s="21" t="n"/>
      <c r="G1562" s="21" t="n"/>
    </row>
    <row r="1563" ht="32" customHeight="1">
      <c r="A1563" s="22" t="inlineStr">
        <is>
          <t>Структура и задачи национальной системы обеспечения кибербезопасности.</t>
        </is>
      </c>
      <c r="B1563" s="2" t="n"/>
      <c r="C1563" s="2" t="n"/>
      <c r="D1563" s="2" t="n"/>
      <c r="E1563" s="2" t="n"/>
      <c r="F1563" s="2" t="n"/>
      <c r="G1563" s="2" t="n"/>
    </row>
    <row r="1564" ht="32" customHeight="1">
      <c r="A1564" s="22" t="inlineStr">
        <is>
          <t>Элементы национальной системы обеспечения кибербезопасности,</t>
        </is>
      </c>
      <c r="B1564" s="2" t="n"/>
      <c r="C1564" s="2" t="n"/>
      <c r="D1564" s="2" t="n"/>
      <c r="E1564" s="2" t="n"/>
      <c r="F1564" s="2" t="n"/>
      <c r="G1564" s="2" t="n"/>
    </row>
    <row r="1565" ht="64" customHeight="1">
      <c r="A1565" s="22" t="inlineStr">
        <is>
          <t>их роль и место в достижении цели национальной системы. Центры кибербезопасности и услуги по обеспечению кибербезопасности. Существенные условия договора на оказание услуг по обеспечению кибербезопасности. Перечень государственных органов и иных организаций, которые создают центры кибербезопасности и (или) приобретают услуги по обеспечению кибербезопасности у организаций, создавших такие центры.</t>
        </is>
      </c>
      <c r="B1565" s="2" t="n"/>
      <c r="C1565" s="2" t="n"/>
      <c r="D1565" s="2" t="n"/>
      <c r="E1565" s="2" t="n"/>
      <c r="F1565" s="2" t="n"/>
      <c r="G1565" s="2" t="n"/>
    </row>
    <row r="1566" ht="32" customHeight="1">
      <c r="A1566" s="22" t="inlineStr">
        <is>
          <t>Информационное взаимодействие элементов национальной системы обеспечения кибербезопасности.</t>
        </is>
      </c>
      <c r="B1566" s="2" t="n"/>
      <c r="C1566" s="2" t="n"/>
      <c r="D1566" s="2" t="n"/>
      <c r="E1566" s="2" t="n"/>
      <c r="F1566" s="2" t="n"/>
      <c r="G1566" s="2" t="n"/>
    </row>
    <row r="1567" ht="32" customHeight="1">
      <c r="A1567" s="22" t="inlineStr">
        <is>
          <t>Организация информационного взаимодействия с Оперативно-аналитическим центром при Президенте Республики Беларусь</t>
        </is>
      </c>
      <c r="B1567" s="2" t="n"/>
      <c r="C1567" s="2" t="n"/>
      <c r="D1567" s="2" t="n"/>
      <c r="E1567" s="2" t="n"/>
      <c r="F1567" s="2" t="n"/>
      <c r="G1567" s="2" t="n"/>
    </row>
    <row r="1568" ht="48" customHeight="1">
      <c r="A1568" s="22" t="inlineStr">
        <is>
          <t>и Национальным центром кибербезопасности. Порядок предоставления сведений о киберинцидентах, состоянии технической и криптографической защиты информации. Способы информационного взаимодействия элементов национальной системы обеспечения кибербезопасности. Обмен сведениями</t>
        </is>
      </c>
      <c r="B1568" s="2" t="n"/>
      <c r="C1568" s="2" t="n"/>
      <c r="D1568" s="2" t="n"/>
      <c r="E1568" s="2" t="n"/>
      <c r="F1568" s="2" t="n"/>
      <c r="G1568" s="2" t="n"/>
    </row>
    <row r="1569" ht="32" customHeight="1">
      <c r="A1569" s="22" t="inlineStr">
        <is>
          <t>с иностранными организациями.</t>
        </is>
      </c>
      <c r="B1569" s="2" t="n"/>
      <c r="C1569" s="2" t="n"/>
      <c r="D1569" s="2" t="n"/>
      <c r="E1569" s="2" t="n"/>
      <c r="F1569" s="2" t="n"/>
      <c r="G1569" s="2" t="n"/>
    </row>
    <row r="1570" ht="51" customHeight="1">
      <c r="A1570" s="3" t="inlineStr">
        <is>
          <t>КО — Кибербезопасность государственных и иных организаций
Раздел: Основы обеспечения кибербезопасности. Законодательство в области обеспечения кибербезопасности. · УТП: таблица 2, строка 7</t>
        </is>
      </c>
      <c r="B1570" s="4" t="n"/>
      <c r="C1570" s="4" t="n"/>
      <c r="D1570" s="4" t="n"/>
      <c r="E1570" s="4" t="n"/>
      <c r="F1570" s="4" t="n"/>
      <c r="G1570" s="4" t="n"/>
    </row>
    <row r="1571" ht="30" customHeight="1">
      <c r="A1571" s="3" t="inlineStr">
        <is>
          <t>В программе: Тема 2. Национальная система обеспечения кибербезопасности 
(2 часа лекции, 2 часа круглый стол).</t>
        </is>
      </c>
      <c r="B1571" s="4" t="n"/>
      <c r="C1571" s="4" t="n"/>
      <c r="D1571" s="4" t="n"/>
      <c r="E1571" s="4" t="n"/>
      <c r="F1571" s="4" t="n"/>
      <c r="G1571" s="4" t="n"/>
    </row>
    <row r="1572" ht="25" customHeight="1">
      <c r="A1572" s="23" t="inlineStr">
        <is>
          <t>Исходная программа КО ↗</t>
        </is>
      </c>
      <c r="D1572" s="23" t="inlineStr">
        <is>
          <t>Исходный УТП КО ↗</t>
        </is>
      </c>
    </row>
    <row r="1573" ht="27" customHeight="1">
      <c r="A1573" s="24">
        <f>HYPERLINK("#'Выбор тем'!E"&amp;MATCH("T-C263D4D0",'Выбор тем'!$A:$A,0),"← Вернуться к теме")</f>
        <v/>
      </c>
    </row>
    <row r="1575" ht="38" customHeight="1">
      <c r="A1575" s="18" t="inlineStr">
        <is>
          <t>Национальная стратегия: экономика данных и цифровое государство (2026–2030)</t>
        </is>
      </c>
      <c r="B1575" s="19" t="n"/>
      <c r="C1575" s="19" t="n"/>
      <c r="D1575" s="19" t="n"/>
      <c r="E1575" s="19" t="n"/>
      <c r="F1575" s="19" t="n"/>
      <c r="G1575" s="19" t="n"/>
    </row>
    <row r="1576" ht="26" customHeight="1">
      <c r="A1576" s="3" t="inlineStr">
        <is>
          <t>T-99A0E09D · Программы: ЦТГУ</t>
        </is>
      </c>
      <c r="B1576" s="4" t="n"/>
      <c r="C1576" s="4" t="n"/>
      <c r="D1576" s="4" t="n"/>
      <c r="E1576" s="4" t="n"/>
      <c r="F1576" s="4" t="n"/>
      <c r="G1576" s="4" t="n"/>
    </row>
    <row r="1577" ht="27" customHeight="1">
      <c r="A1577" s="20" t="inlineStr">
        <is>
          <t>Вариант для: ЦТГУ</t>
        </is>
      </c>
      <c r="B1577" s="21" t="n"/>
      <c r="C1577" s="21" t="n"/>
      <c r="D1577" s="21" t="n"/>
      <c r="E1577" s="21" t="n"/>
      <c r="F1577" s="21" t="n"/>
      <c r="G1577" s="21" t="n"/>
    </row>
    <row r="1578" ht="48" customHeight="1">
      <c r="A1578" s="22" t="inlineStr">
        <is>
          <t>Цели, задачи и подпрограммы Государственной программы «Цифровая Беларусь» на 2026–2030 годы. Ключевые направления развития цифровых решений и инфраструктуры. Роль данных как стратегического ресурса. Целевые показатели и ожидаемые эффекты для государства, граждан и экономики.</t>
        </is>
      </c>
      <c r="B1578" s="2" t="n"/>
      <c r="C1578" s="2" t="n"/>
      <c r="D1578" s="2" t="n"/>
      <c r="E1578" s="2" t="n"/>
      <c r="F1578" s="2" t="n"/>
      <c r="G1578" s="2" t="n"/>
    </row>
    <row r="1579" ht="51" customHeight="1">
      <c r="A1579"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8</t>
        </is>
      </c>
      <c r="B1579" s="4" t="n"/>
      <c r="C1579" s="4" t="n"/>
      <c r="D1579" s="4" t="n"/>
      <c r="E1579" s="4" t="n"/>
      <c r="F1579" s="4" t="n"/>
      <c r="G1579" s="4" t="n"/>
    </row>
    <row r="1580" ht="30" customHeight="1">
      <c r="A1580" s="3" t="inlineStr">
        <is>
          <t>В программе: Тема 3. Национальная стратегия: экономика данных и цифровое государство (2026–2030) (2 часа лекции).</t>
        </is>
      </c>
      <c r="B1580" s="4" t="n"/>
      <c r="C1580" s="4" t="n"/>
      <c r="D1580" s="4" t="n"/>
      <c r="E1580" s="4" t="n"/>
      <c r="F1580" s="4" t="n"/>
      <c r="G1580" s="4" t="n"/>
    </row>
    <row r="1581" ht="25" customHeight="1">
      <c r="A1581" s="23" t="inlineStr">
        <is>
          <t>Исходная программа ЦТГУ ↗</t>
        </is>
      </c>
      <c r="D1581" s="23" t="inlineStr">
        <is>
          <t>Исходный УТП ЦТГУ ↗</t>
        </is>
      </c>
    </row>
    <row r="1582" ht="27" customHeight="1">
      <c r="A1582" s="24">
        <f>HYPERLINK("#'Выбор тем'!E"&amp;MATCH("T-99A0E09D",'Выбор тем'!$A:$A,0),"← Вернуться к теме")</f>
        <v/>
      </c>
    </row>
    <row r="1584" ht="38" customHeight="1">
      <c r="A1584" s="18" t="inlineStr">
        <is>
          <t>Необходимость и значение киберразведки в обеспечении информационной безопасности</t>
        </is>
      </c>
      <c r="B1584" s="19" t="n"/>
      <c r="C1584" s="19" t="n"/>
      <c r="D1584" s="19" t="n"/>
      <c r="E1584" s="19" t="n"/>
      <c r="F1584" s="19" t="n"/>
      <c r="G1584" s="19" t="n"/>
    </row>
    <row r="1585" ht="26" customHeight="1">
      <c r="A1585" s="3" t="inlineStr">
        <is>
          <t>T-9B79997E · Программы: РКИОК</t>
        </is>
      </c>
      <c r="B1585" s="4" t="n"/>
      <c r="C1585" s="4" t="n"/>
      <c r="D1585" s="4" t="n"/>
      <c r="E1585" s="4" t="n"/>
      <c r="F1585" s="4" t="n"/>
      <c r="G1585" s="4" t="n"/>
    </row>
    <row r="1586" ht="27" customHeight="1">
      <c r="A1586" s="20" t="inlineStr">
        <is>
          <t>Вариант для: РКИОК</t>
        </is>
      </c>
      <c r="B1586" s="21" t="n"/>
      <c r="C1586" s="21" t="n"/>
      <c r="D1586" s="21" t="n"/>
      <c r="E1586" s="21" t="n"/>
      <c r="F1586" s="21" t="n"/>
      <c r="G1586" s="21" t="n"/>
    </row>
    <row r="1587" ht="48" customHeight="1">
      <c r="A1587" s="22" t="inlineStr">
        <is>
          <t>Определение Threat Intelligence и сферы её применения. Обогащение событий безопасности контекстом угроз. Влияние TI на проактивное обнаружение и реагирование.</t>
        </is>
      </c>
      <c r="B1587" s="2" t="n"/>
      <c r="C1587" s="2" t="n"/>
      <c r="D1587" s="2" t="n"/>
      <c r="E1587" s="2" t="n"/>
      <c r="F1587" s="2" t="n"/>
      <c r="G1587" s="2" t="n"/>
    </row>
    <row r="1588" ht="51" customHeight="1">
      <c r="A1588" s="3" t="inlineStr">
        <is>
          <t>РКИОК — Реагирование на киберинциденты и отражение кибератак
Раздел: Введение в SOAR и TI · УТП: таблица 2, строка 38</t>
        </is>
      </c>
      <c r="B1588" s="4" t="n"/>
      <c r="C1588" s="4" t="n"/>
      <c r="D1588" s="4" t="n"/>
      <c r="E1588" s="4" t="n"/>
      <c r="F1588" s="4" t="n"/>
      <c r="G1588" s="4" t="n"/>
    </row>
    <row r="1589" ht="30" customHeight="1">
      <c r="A1589" s="3" t="inlineStr">
        <is>
          <t>В программе: Тема 5. Необходимость и значение киберразведки в обеспечении информационной безопасности (1 час лекции).</t>
        </is>
      </c>
      <c r="B1589" s="4" t="n"/>
      <c r="C1589" s="4" t="n"/>
      <c r="D1589" s="4" t="n"/>
      <c r="E1589" s="4" t="n"/>
      <c r="F1589" s="4" t="n"/>
      <c r="G1589" s="4" t="n"/>
    </row>
    <row r="1590" ht="25" customHeight="1">
      <c r="A1590" s="23" t="inlineStr">
        <is>
          <t>Исходная программа РКИОК ↗</t>
        </is>
      </c>
      <c r="D1590" s="23" t="inlineStr">
        <is>
          <t>Исходный УТП РКИОК ↗</t>
        </is>
      </c>
    </row>
    <row r="1591" ht="27" customHeight="1">
      <c r="A1591" s="24">
        <f>HYPERLINK("#'Выбор тем'!E"&amp;MATCH("T-9B79997E",'Выбор тем'!$A:$A,0),"← Вернуться к теме")</f>
        <v/>
      </c>
    </row>
    <row r="1593" ht="38" customHeight="1">
      <c r="A1593" s="18" t="inlineStr">
        <is>
          <t>Нормализация событий, корреляция, обработка ложных событий</t>
        </is>
      </c>
      <c r="B1593" s="19" t="n"/>
      <c r="C1593" s="19" t="n"/>
      <c r="D1593" s="19" t="n"/>
      <c r="E1593" s="19" t="n"/>
      <c r="F1593" s="19" t="n"/>
      <c r="G1593" s="19" t="n"/>
    </row>
    <row r="1594" ht="26" customHeight="1">
      <c r="A1594" s="3" t="inlineStr">
        <is>
          <t>T-07538019 · Программы: ОКБО</t>
        </is>
      </c>
      <c r="B1594" s="4" t="n"/>
      <c r="C1594" s="4" t="n"/>
      <c r="D1594" s="4" t="n"/>
      <c r="E1594" s="4" t="n"/>
      <c r="F1594" s="4" t="n"/>
      <c r="G1594" s="4" t="n"/>
    </row>
    <row r="1595" ht="27" customHeight="1">
      <c r="A1595" s="20" t="inlineStr">
        <is>
          <t>Вариант для: ОКБО</t>
        </is>
      </c>
      <c r="B1595" s="21" t="n"/>
      <c r="C1595" s="21" t="n"/>
      <c r="D1595" s="21" t="n"/>
      <c r="E1595" s="21" t="n"/>
      <c r="F1595" s="21" t="n"/>
      <c r="G1595" s="21" t="n"/>
    </row>
    <row r="1596" ht="31" customHeight="1">
      <c r="A1596" s="25" t="inlineStr">
        <is>
          <t>Тема выделена в обновлённой программе отдельно. В текущем УТП нет отдельной строки с таким названием; источник — программа.</t>
        </is>
      </c>
      <c r="B1596" s="26" t="n"/>
      <c r="C1596" s="26" t="n"/>
      <c r="D1596" s="26" t="n"/>
      <c r="E1596" s="26" t="n"/>
      <c r="F1596" s="26" t="n"/>
      <c r="G1596" s="26" t="n"/>
    </row>
    <row r="1597" ht="32" customHeight="1">
      <c r="A1597" s="22" t="inlineStr">
        <is>
          <t>Создание простых правил нормализации и корреляции, тестирование оповещений и доставки триггеров.</t>
        </is>
      </c>
      <c r="B1597" s="2" t="n"/>
      <c r="C1597" s="2" t="n"/>
      <c r="D1597" s="2" t="n"/>
      <c r="E1597" s="2" t="n"/>
      <c r="F1597" s="2" t="n"/>
      <c r="G1597" s="2" t="n"/>
    </row>
    <row r="1598" ht="51" customHeight="1">
      <c r="A1598" s="3" t="inlineStr">
        <is>
          <t>ОКБО — Обеспечение кибербезопасности организаций
Раздел: VI Системы управления информационной безопасностью и событиями безопасности (SIEM). · Тема добавлена непосредственно из обновлённой программы</t>
        </is>
      </c>
      <c r="B1598" s="4" t="n"/>
      <c r="C1598" s="4" t="n"/>
      <c r="D1598" s="4" t="n"/>
      <c r="E1598" s="4" t="n"/>
      <c r="F1598" s="4" t="n"/>
      <c r="G1598" s="4" t="n"/>
    </row>
    <row r="1599" ht="30" customHeight="1">
      <c r="A1599" s="3" t="inlineStr">
        <is>
          <t>В программе: Тема 5. Нормализация событий, корреляция, обработка ложных событий (1 час практические занятия).</t>
        </is>
      </c>
      <c r="B1599" s="4" t="n"/>
      <c r="C1599" s="4" t="n"/>
      <c r="D1599" s="4" t="n"/>
      <c r="E1599" s="4" t="n"/>
      <c r="F1599" s="4" t="n"/>
      <c r="G1599" s="4" t="n"/>
    </row>
    <row r="1600" ht="25" customHeight="1">
      <c r="A1600" s="23" t="inlineStr">
        <is>
          <t>Исходная программа ОКБО ↗</t>
        </is>
      </c>
      <c r="D1600" s="23" t="inlineStr">
        <is>
          <t>УТП для сверки ОКБО ↗</t>
        </is>
      </c>
    </row>
    <row r="1601" ht="27" customHeight="1">
      <c r="A1601" s="24">
        <f>HYPERLINK("#'Выбор тем'!E"&amp;MATCH("T-07538019",'Выбор тем'!$A:$A,0),"← Вернуться к теме")</f>
        <v/>
      </c>
    </row>
    <row r="1603" ht="38" customHeight="1">
      <c r="A1603" s="18" t="inlineStr">
        <is>
          <t>«Нулевая бюрократия»: подходы к сокращению административных барьеров</t>
        </is>
      </c>
      <c r="B1603" s="19" t="n"/>
      <c r="C1603" s="19" t="n"/>
      <c r="D1603" s="19" t="n"/>
      <c r="E1603" s="19" t="n"/>
      <c r="F1603" s="19" t="n"/>
      <c r="G1603" s="19" t="n"/>
    </row>
    <row r="1604" ht="26" customHeight="1">
      <c r="A1604" s="3" t="inlineStr">
        <is>
          <t>T-E83E95EB · Программы: ЦТГУ</t>
        </is>
      </c>
      <c r="B1604" s="4" t="n"/>
      <c r="C1604" s="4" t="n"/>
      <c r="D1604" s="4" t="n"/>
      <c r="E1604" s="4" t="n"/>
      <c r="F1604" s="4" t="n"/>
      <c r="G1604" s="4" t="n"/>
    </row>
    <row r="1605" ht="27" customHeight="1">
      <c r="A1605" s="20" t="inlineStr">
        <is>
          <t>Вариант для: ЦТГУ</t>
        </is>
      </c>
      <c r="B1605" s="21" t="n"/>
      <c r="C1605" s="21" t="n"/>
      <c r="D1605" s="21" t="n"/>
      <c r="E1605" s="21" t="n"/>
      <c r="F1605" s="21" t="n"/>
      <c r="G1605" s="21" t="n"/>
    </row>
    <row r="1606" ht="48" customHeight="1">
      <c r="A1606" s="22" t="inlineStr">
        <is>
          <t>Понятие и принципы «нулевой бюрократии» в государственной программе. Типовые источники избыточности. Методы выявления узких мест. Первоочередные жизненные и деловые ситуации для цифровизации.</t>
        </is>
      </c>
      <c r="B1606" s="2" t="n"/>
      <c r="C1606" s="2" t="n"/>
      <c r="D1606" s="2" t="n"/>
      <c r="E1606" s="2" t="n"/>
      <c r="F1606" s="2" t="n"/>
      <c r="G1606" s="2" t="n"/>
    </row>
    <row r="1607" ht="51" customHeight="1">
      <c r="A1607" s="3" t="inlineStr">
        <is>
          <t>ЦТГУ — Цифровая трансформация государственного управления
Раздел: Нулевая бюрократия и клиентоцентричность · УТП: таблица 2, строка 12</t>
        </is>
      </c>
      <c r="B1607" s="4" t="n"/>
      <c r="C1607" s="4" t="n"/>
      <c r="D1607" s="4" t="n"/>
      <c r="E1607" s="4" t="n"/>
      <c r="F1607" s="4" t="n"/>
      <c r="G1607" s="4" t="n"/>
    </row>
    <row r="1608" ht="30" customHeight="1">
      <c r="A1608" s="3" t="inlineStr">
        <is>
          <t>В программе: Тема 1. «Нулевая бюрократия»: подходы к сокращению административных барьеров (2 часа лекции).</t>
        </is>
      </c>
      <c r="B1608" s="4" t="n"/>
      <c r="C1608" s="4" t="n"/>
      <c r="D1608" s="4" t="n"/>
      <c r="E1608" s="4" t="n"/>
      <c r="F1608" s="4" t="n"/>
      <c r="G1608" s="4" t="n"/>
    </row>
    <row r="1609" ht="25" customHeight="1">
      <c r="A1609" s="23" t="inlineStr">
        <is>
          <t>Исходная программа ЦТГУ ↗</t>
        </is>
      </c>
      <c r="D1609" s="23" t="inlineStr">
        <is>
          <t>Исходный УТП ЦТГУ ↗</t>
        </is>
      </c>
    </row>
    <row r="1610" ht="27" customHeight="1">
      <c r="A1610" s="24">
        <f>HYPERLINK("#'Выбор тем'!E"&amp;MATCH("T-E83E95EB",'Выбор тем'!$A:$A,0),"← Вернуться к теме")</f>
        <v/>
      </c>
    </row>
    <row r="1612" ht="38" customHeight="1">
      <c r="A1612" s="18" t="inlineStr">
        <is>
          <t>Обеспечение безопасности информации в информационных системах</t>
        </is>
      </c>
      <c r="B1612" s="19" t="n"/>
      <c r="C1612" s="19" t="n"/>
      <c r="D1612" s="19" t="n"/>
      <c r="E1612" s="19" t="n"/>
      <c r="F1612" s="19" t="n"/>
      <c r="G1612" s="19" t="n"/>
    </row>
    <row r="1613" ht="26" customHeight="1">
      <c r="A1613" s="3" t="inlineStr">
        <is>
          <t>T-89E2CB88 · Программы: ЗИКС</t>
        </is>
      </c>
      <c r="B1613" s="4" t="n"/>
      <c r="C1613" s="4" t="n"/>
      <c r="D1613" s="4" t="n"/>
      <c r="E1613" s="4" t="n"/>
      <c r="F1613" s="4" t="n"/>
      <c r="G1613" s="4" t="n"/>
    </row>
    <row r="1614" ht="27" customHeight="1">
      <c r="A1614" s="20" t="inlineStr">
        <is>
          <t>Вариант для: ЗИКС</t>
        </is>
      </c>
      <c r="B1614" s="21" t="n"/>
      <c r="C1614" s="21" t="n"/>
      <c r="D1614" s="21" t="n"/>
      <c r="E1614" s="21" t="n"/>
      <c r="F1614" s="21" t="n"/>
      <c r="G1614" s="21" t="n"/>
    </row>
    <row r="1615" ht="32" customHeight="1">
      <c r="A1615" s="22" t="inlineStr">
        <is>
          <t>Угрозы активов информационной системы и их классификация.</t>
        </is>
      </c>
      <c r="B1615" s="2" t="n"/>
      <c r="C1615" s="2" t="n"/>
      <c r="D1615" s="2" t="n"/>
      <c r="E1615" s="2" t="n"/>
      <c r="F1615" s="2" t="n"/>
      <c r="G1615" s="2" t="n"/>
    </row>
    <row r="1616" ht="48" customHeight="1">
      <c r="A1616" s="22" t="inlineStr">
        <is>
          <t>Перечень угроз безопасности информации в информационных системах и их характеристика. Примеры классификации. Каталоги угроз и контрмер, используемые в Германском стандарте IT Baseline Protection Manual. Классификация ресурсов, угроз и контрмер в методе CRAMM для профиля Commercial.</t>
        </is>
      </c>
      <c r="B1616" s="2" t="n"/>
      <c r="C1616" s="2" t="n"/>
      <c r="D1616" s="2" t="n"/>
      <c r="E1616" s="2" t="n"/>
      <c r="F1616" s="2" t="n"/>
      <c r="G1616" s="2" t="n"/>
    </row>
    <row r="1617" ht="32" customHeight="1">
      <c r="A1617" s="22" t="inlineStr">
        <is>
          <t>Модели нарушителя.</t>
        </is>
      </c>
      <c r="B1617" s="2" t="n"/>
      <c r="C1617" s="2" t="n"/>
      <c r="D1617" s="2" t="n"/>
      <c r="E1617" s="2" t="n"/>
      <c r="F1617" s="2" t="n"/>
      <c r="G1617" s="2" t="n"/>
    </row>
    <row r="1618" ht="48" customHeight="1">
      <c r="A1618" s="22" t="inlineStr">
        <is>
          <t>Ненадлежащая политика руководства организации. Нарушители правил из числа персонала организации. Деятельность хакеров. «Традиционные» злоумышленники. Деятельность государственных органов. Несчастные случаи и стихийные бедствия.</t>
        </is>
      </c>
      <c r="B1618" s="2" t="n"/>
      <c r="C1618" s="2" t="n"/>
      <c r="D1618" s="2" t="n"/>
      <c r="E1618" s="2" t="n"/>
      <c r="F1618" s="2" t="n"/>
      <c r="G1618" s="2" t="n"/>
    </row>
    <row r="1619" ht="32" customHeight="1">
      <c r="A1619" s="22" t="inlineStr">
        <is>
          <t>Понятие и методика построения политики кибербезопасности автоматизированных систем в защищенном исполнении.</t>
        </is>
      </c>
      <c r="B1619" s="2" t="n"/>
      <c r="C1619" s="2" t="n"/>
      <c r="D1619" s="2" t="n"/>
      <c r="E1619" s="2" t="n"/>
      <c r="F1619" s="2" t="n"/>
      <c r="G1619" s="2" t="n"/>
    </row>
    <row r="1620" ht="48" customHeight="1">
      <c r="A1620" s="22" t="inlineStr">
        <is>
          <t>Характеристика зрелости технологий защиты информации. Основные причины создания политик безопасности. Как разработать политики безопасности. Рекомендации международных стандартов по созданию политик безопасности. Политики безопасности, рекомендуемые SANS.</t>
        </is>
      </c>
      <c r="B1620" s="2" t="n"/>
      <c r="C1620" s="2" t="n"/>
      <c r="D1620" s="2" t="n"/>
      <c r="E1620" s="2" t="n"/>
      <c r="F1620" s="2" t="n"/>
      <c r="G1620" s="2" t="n"/>
    </row>
    <row r="1621" ht="32" customHeight="1">
      <c r="A1621" s="22" t="inlineStr">
        <is>
          <t>Архитектура корпоративной системы защиты информации.</t>
        </is>
      </c>
      <c r="B1621" s="2" t="n"/>
      <c r="C1621" s="2" t="n"/>
      <c r="D1621" s="2" t="n"/>
      <c r="E1621" s="2" t="n"/>
      <c r="F1621" s="2" t="n"/>
      <c r="G1621" s="2" t="n"/>
    </row>
    <row r="1622" ht="48" customHeight="1">
      <c r="A1622" s="22" t="inlineStr">
        <is>
          <t>Зона подключения к интернету. Зона доступа к Web-приложениям. Зона выхода в интернет. Зона управления ресурсами сети. Зона защищаемых данных. Зона внутренней сети.</t>
        </is>
      </c>
      <c r="B1622" s="2" t="n"/>
      <c r="C1622" s="2" t="n"/>
      <c r="D1622" s="2" t="n"/>
      <c r="E1622" s="2" t="n"/>
      <c r="F1622" s="2" t="n"/>
      <c r="G1622" s="2" t="n"/>
    </row>
    <row r="1623" ht="32" customHeight="1">
      <c r="A1623" s="22" t="inlineStr">
        <is>
          <t>Руководство по кибербезопасности.</t>
        </is>
      </c>
      <c r="B1623" s="2" t="n"/>
      <c r="C1623" s="2" t="n"/>
      <c r="D1623" s="2" t="n"/>
      <c r="E1623" s="2" t="n"/>
      <c r="F1623" s="2" t="n"/>
      <c r="G1623" s="2" t="n"/>
    </row>
    <row r="1624" ht="48" customHeight="1">
      <c r="A1624" s="22" t="inlineStr">
        <is>
          <t>Выработка официальной политики в области кибербезопасности. Выработка процедур для предупреждения нарушений безопасности. Типы процедур безопасности. Реакция на нарушения безопасности. Выработка мер, предпринимаемых после нарушения.</t>
        </is>
      </c>
      <c r="B1624" s="2" t="n"/>
      <c r="C1624" s="2" t="n"/>
      <c r="D1624" s="2" t="n"/>
      <c r="E1624" s="2" t="n"/>
      <c r="F1624" s="2" t="n"/>
      <c r="G1624" s="2" t="n"/>
    </row>
    <row r="1625" ht="51" customHeight="1">
      <c r="A1625"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14</t>
        </is>
      </c>
      <c r="B1625" s="4" t="n"/>
      <c r="C1625" s="4" t="n"/>
      <c r="D1625" s="4" t="n"/>
      <c r="E1625" s="4" t="n"/>
      <c r="F1625" s="4" t="n"/>
      <c r="G1625" s="4" t="n"/>
    </row>
    <row r="1626" ht="30" customHeight="1">
      <c r="A1626" s="3" t="inlineStr">
        <is>
          <t>В программе: Тема 1. Обеспечение безопасности информации в информационных системах (6 часов лекции, 2 часа круглый стол).</t>
        </is>
      </c>
      <c r="B1626" s="4" t="n"/>
      <c r="C1626" s="4" t="n"/>
      <c r="D1626" s="4" t="n"/>
      <c r="E1626" s="4" t="n"/>
      <c r="F1626" s="4" t="n"/>
      <c r="G1626" s="4" t="n"/>
    </row>
    <row r="1627" ht="25" customHeight="1">
      <c r="A1627" s="23" t="inlineStr">
        <is>
          <t>Исходная программа ЗИКС ↗</t>
        </is>
      </c>
      <c r="D1627" s="23" t="inlineStr">
        <is>
          <t>Исходный УТП ЗИКС ↗</t>
        </is>
      </c>
    </row>
    <row r="1628" ht="27" customHeight="1">
      <c r="A1628" s="24">
        <f>HYPERLINK("#'Выбор тем'!E"&amp;MATCH("T-89E2CB88",'Выбор тем'!$A:$A,0),"← Вернуться к теме")</f>
        <v/>
      </c>
    </row>
    <row r="1630" ht="38" customHeight="1">
      <c r="A1630" s="18" t="inlineStr">
        <is>
          <t>Обеспечение безопасности клиент-серверного соединения</t>
        </is>
      </c>
      <c r="B1630" s="19" t="n"/>
      <c r="C1630" s="19" t="n"/>
      <c r="D1630" s="19" t="n"/>
      <c r="E1630" s="19" t="n"/>
      <c r="F1630" s="19" t="n"/>
      <c r="G1630" s="19" t="n"/>
    </row>
    <row r="1631" ht="26" customHeight="1">
      <c r="A1631" s="3" t="inlineStr">
        <is>
          <t>T-85A353EA · Программы: ТК</t>
        </is>
      </c>
      <c r="B1631" s="4" t="n"/>
      <c r="C1631" s="4" t="n"/>
      <c r="D1631" s="4" t="n"/>
      <c r="E1631" s="4" t="n"/>
      <c r="F1631" s="4" t="n"/>
      <c r="G1631" s="4" t="n"/>
    </row>
    <row r="1632" ht="27" customHeight="1">
      <c r="A1632" s="20" t="inlineStr">
        <is>
          <t>Вариант для: ТК</t>
        </is>
      </c>
      <c r="B1632" s="21" t="n"/>
      <c r="C1632" s="21" t="n"/>
      <c r="D1632" s="21" t="n"/>
      <c r="E1632" s="21" t="n"/>
      <c r="F1632" s="21" t="n"/>
      <c r="G1632" s="21" t="n"/>
    </row>
    <row r="1633" ht="80" customHeight="1">
      <c r="A1633" s="22" t="inlineStr">
        <is>
          <t>Понятия Front-End и Back-End. Технологии тестирования на проникновение (пентестинг). Инструменты для пентестинга. Типы внедрений (SQL injection, Command injection и др.). Принципы построения политик безопасности на Web Application Firewall (WAF). Сравнения сервисов Amazon и Azure для обнаружения угроз и реагирования на них. Обмен электронной почтой с шифрованием на основе идентификационных данных. Схемы обеспечения безопасности электронной почты в различных режимах.</t>
        </is>
      </c>
      <c r="B1633" s="2" t="n"/>
      <c r="C1633" s="2" t="n"/>
      <c r="D1633" s="2" t="n"/>
      <c r="E1633" s="2" t="n"/>
      <c r="F1633" s="2" t="n"/>
      <c r="G1633" s="2" t="n"/>
    </row>
    <row r="1634" ht="51" customHeight="1">
      <c r="A1634"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23</t>
        </is>
      </c>
      <c r="B1634" s="4" t="n"/>
      <c r="C1634" s="4" t="n"/>
      <c r="D1634" s="4" t="n"/>
      <c r="E1634" s="4" t="n"/>
      <c r="F1634" s="4" t="n"/>
      <c r="G1634" s="4" t="n"/>
    </row>
    <row r="1635" ht="30" customHeight="1">
      <c r="A1635" s="3" t="inlineStr">
        <is>
          <t>В программе: Тема 11. Обеспечение безопасности клиент-серверного соединения (2 часа лекции, 2 часа лабораторные занятия).</t>
        </is>
      </c>
      <c r="B1635" s="4" t="n"/>
      <c r="C1635" s="4" t="n"/>
      <c r="D1635" s="4" t="n"/>
      <c r="E1635" s="4" t="n"/>
      <c r="F1635" s="4" t="n"/>
      <c r="G1635" s="4" t="n"/>
    </row>
    <row r="1636" ht="25" customHeight="1">
      <c r="A1636" s="23" t="inlineStr">
        <is>
          <t>Исходная программа ТК ↗</t>
        </is>
      </c>
      <c r="D1636" s="23" t="inlineStr">
        <is>
          <t>Исходный УТП ТК ↗</t>
        </is>
      </c>
    </row>
    <row r="1637" ht="27" customHeight="1">
      <c r="A1637" s="24">
        <f>HYPERLINK("#'Выбор тем'!E"&amp;MATCH("T-85A353EA",'Выбор тем'!$A:$A,0),"← Вернуться к теме")</f>
        <v/>
      </c>
    </row>
    <row r="1639" ht="38" customHeight="1">
      <c r="A1639" s="18" t="inlineStr">
        <is>
          <t>Обеспечение безопасности компьютерных сетей</t>
        </is>
      </c>
      <c r="B1639" s="19" t="n"/>
      <c r="C1639" s="19" t="n"/>
      <c r="D1639" s="19" t="n"/>
      <c r="E1639" s="19" t="n"/>
      <c r="F1639" s="19" t="n"/>
      <c r="G1639" s="19" t="n"/>
    </row>
    <row r="1640" ht="26" customHeight="1">
      <c r="A1640" s="3" t="inlineStr">
        <is>
          <t>T-25E5D4E2 · Программы: БКТ, ККС</t>
        </is>
      </c>
      <c r="B1640" s="4" t="n"/>
      <c r="C1640" s="4" t="n"/>
      <c r="D1640" s="4" t="n"/>
      <c r="E1640" s="4" t="n"/>
      <c r="F1640" s="4" t="n"/>
      <c r="G1640" s="4" t="n"/>
    </row>
    <row r="1641" ht="27" customHeight="1">
      <c r="A1641" s="20" t="inlineStr">
        <is>
          <t>Вариант для: БКТ</t>
        </is>
      </c>
      <c r="B1641" s="21" t="n"/>
      <c r="C1641" s="21" t="n"/>
      <c r="D1641" s="21" t="n"/>
      <c r="E1641" s="21" t="n"/>
      <c r="F1641" s="21" t="n"/>
      <c r="G1641" s="21" t="n"/>
    </row>
    <row r="1642" ht="64" customHeight="1">
      <c r="A1642" s="22" t="inlineStr">
        <is>
          <t>Проблемы обеспечения безопасности в сетях. Типовая IP-сеть организации. Сетевые угрозы, уязвимости и атаки. Средства обнаружения уязвимостей узлов IP-сетей и атак на узлы, протоколы и сетевые службы. Получение оперативной информации о новых уязвимостях и атаках. Способы устранения уязвимостей и противодействия вторжениям нарушителей.</t>
        </is>
      </c>
      <c r="B1642" s="2" t="n"/>
      <c r="C1642" s="2" t="n"/>
      <c r="D1642" s="2" t="n"/>
      <c r="E1642" s="2" t="n"/>
      <c r="F1642" s="2" t="n"/>
      <c r="G1642" s="2" t="n"/>
    </row>
    <row r="1643" ht="80" customHeight="1">
      <c r="A1643" s="22" t="inlineStr">
        <is>
          <t>Межсетевые экраны. Назначение и виды. Основные возможности и варианты размещения. Достоинства и недостатки. Основные защитные механизмы: фильтрация пакетов, трансляция сетевых адресов, промежуточная аутентификация, script rejection, проверка почты, виртуальные частные сети, противодействия атакам, нацеленным на нарушение работоспособности сетевых служб, дополнительные функции. Общие рекомендации по применению. Политика безопасности при доступе в сети общего пользования. Демилитаризованная зона.</t>
        </is>
      </c>
      <c r="B1643" s="2" t="n"/>
      <c r="C1643" s="2" t="n"/>
      <c r="D1643" s="2" t="n"/>
      <c r="E1643" s="2" t="n"/>
      <c r="F1643" s="2" t="n"/>
      <c r="G1643" s="2" t="n"/>
    </row>
    <row r="1644" ht="48" customHeight="1">
      <c r="A1644" s="22" t="inlineStr">
        <is>
          <t>Контроль информационного наполнения (контента) электронной почты и Web-трафика. Компоненты и функционирование систем контроля контента. Политики безопасности, сценарии и варианты применения и реагирования.</t>
        </is>
      </c>
      <c r="B1644" s="2" t="n"/>
      <c r="C1644" s="2" t="n"/>
      <c r="D1644" s="2" t="n"/>
      <c r="E1644" s="2" t="n"/>
      <c r="F1644" s="2" t="n"/>
      <c r="G1644" s="2" t="n"/>
    </row>
    <row r="1645" ht="48" customHeight="1">
      <c r="A1645" s="22" t="inlineStr">
        <is>
          <t>Виртуальные частные сети (VPN). Назначение, основные возможности, принципы функционирования и варианты реализации. Структура защищенной корпоративной сети. Варианты, достоинства и недостатки VPN-решений. Общие рекомендации по их применению.</t>
        </is>
      </c>
      <c r="B1645" s="2" t="n"/>
      <c r="C1645" s="2" t="n"/>
      <c r="D1645" s="2" t="n"/>
      <c r="E1645" s="2" t="n"/>
      <c r="F1645" s="2" t="n"/>
      <c r="G1645" s="2" t="n"/>
    </row>
    <row r="1646" ht="64" customHeight="1">
      <c r="A1646" s="22" t="inlineStr">
        <is>
          <t>Средства выявления уязвимостей узлов сетей и средства обнаружения атак на узлы, протоколы и сетевые службы. Назначение, возможности, принципы работы. Место и роль в общей системе обеспечения безопасности. Сравнение возможностей с межсетевыми экранами. Средства обеспечения адаптивной сетевой безопасности.</t>
        </is>
      </c>
      <c r="B1646" s="2" t="n"/>
      <c r="C1646" s="2" t="n"/>
      <c r="D1646" s="2" t="n"/>
      <c r="E1646" s="2" t="n"/>
      <c r="F1646" s="2" t="n"/>
      <c r="G1646" s="2" t="n"/>
    </row>
    <row r="1647" ht="32" customHeight="1">
      <c r="A1647" s="22" t="inlineStr">
        <is>
          <t>Вопросы круглого стола:</t>
        </is>
      </c>
      <c r="B1647" s="2" t="n"/>
      <c r="C1647" s="2" t="n"/>
      <c r="D1647" s="2" t="n"/>
      <c r="E1647" s="2" t="n"/>
      <c r="F1647" s="2" t="n"/>
      <c r="G1647" s="2" t="n"/>
    </row>
    <row r="1648" ht="32" customHeight="1">
      <c r="A1648" s="22" t="inlineStr">
        <is>
          <t>Варианты решений по обеспечению безопасности сети организации.</t>
        </is>
      </c>
      <c r="B1648" s="2" t="n"/>
      <c r="C1648" s="2" t="n"/>
      <c r="D1648" s="2" t="n"/>
      <c r="E1648" s="2" t="n"/>
      <c r="F1648" s="2" t="n"/>
      <c r="G1648" s="2" t="n"/>
    </row>
    <row r="1649" ht="51" customHeight="1">
      <c r="A1649" s="3" t="inlineStr">
        <is>
          <t>БКТ — Безопасность компьютерных технологий
Раздел: Практические аспекты обеспечения кибербезопасности · УТП: таблица 2, строка 18</t>
        </is>
      </c>
      <c r="B1649" s="4" t="n"/>
      <c r="C1649" s="4" t="n"/>
      <c r="D1649" s="4" t="n"/>
      <c r="E1649" s="4" t="n"/>
      <c r="F1649" s="4" t="n"/>
      <c r="G1649" s="4" t="n"/>
    </row>
    <row r="1650" ht="30" customHeight="1">
      <c r="A1650" s="3" t="inlineStr">
        <is>
          <t>В программе: Тема 4. Обеспечение безопасности компьютерных сетей (2 часа лекции, 2 часа круглый стол).</t>
        </is>
      </c>
      <c r="B1650" s="4" t="n"/>
      <c r="C1650" s="4" t="n"/>
      <c r="D1650" s="4" t="n"/>
      <c r="E1650" s="4" t="n"/>
      <c r="F1650" s="4" t="n"/>
      <c r="G1650" s="4" t="n"/>
    </row>
    <row r="1651" ht="25" customHeight="1">
      <c r="A1651" s="23" t="inlineStr">
        <is>
          <t>Исходная программа БКТ ↗</t>
        </is>
      </c>
      <c r="D1651" s="23" t="inlineStr">
        <is>
          <t>Исходный УТП БКТ ↗</t>
        </is>
      </c>
    </row>
    <row r="1652" ht="27" customHeight="1">
      <c r="A1652" s="20" t="inlineStr">
        <is>
          <t>Вариант для: ККС</t>
        </is>
      </c>
      <c r="B1652" s="21" t="n"/>
      <c r="C1652" s="21" t="n"/>
      <c r="D1652" s="21" t="n"/>
      <c r="E1652" s="21" t="n"/>
      <c r="F1652" s="21" t="n"/>
      <c r="G1652" s="21" t="n"/>
    </row>
    <row r="1653" ht="32" customHeight="1">
      <c r="A1653" s="22" t="inlineStr">
        <is>
          <t>Проблемы обеспечения кибербезопасности в компьютерных сетях.</t>
        </is>
      </c>
      <c r="B1653" s="2" t="n"/>
      <c r="C1653" s="2" t="n"/>
      <c r="D1653" s="2" t="n"/>
      <c r="E1653" s="2" t="n"/>
      <c r="F1653" s="2" t="n"/>
      <c r="G1653" s="2" t="n"/>
    </row>
    <row r="1654" ht="64" customHeight="1">
      <c r="A1654" s="22" t="inlineStr">
        <is>
          <t>Типовая компьютерная сеть организации. Сетевые угрозы, уязвимости и атаки. Средства обнаружения уязвимостей узлов компьютерных сетей и атак на узлы, протоколы и сетевые службы. Получение оперативной информации о новых уязвимостях и атаках. Способы устранения уязвимостей и противодействия вторжениям нарушителей.</t>
        </is>
      </c>
      <c r="B1654" s="2" t="n"/>
      <c r="C1654" s="2" t="n"/>
      <c r="D1654" s="2" t="n"/>
      <c r="E1654" s="2" t="n"/>
      <c r="F1654" s="2" t="n"/>
      <c r="G1654" s="2" t="n"/>
    </row>
    <row r="1655" ht="32" customHeight="1">
      <c r="A1655" s="22" t="inlineStr">
        <is>
          <t>Межсетевые экраны.</t>
        </is>
      </c>
      <c r="B1655" s="2" t="n"/>
      <c r="C1655" s="2" t="n"/>
      <c r="D1655" s="2" t="n"/>
      <c r="E1655" s="2" t="n"/>
      <c r="F1655" s="2" t="n"/>
      <c r="G1655" s="2" t="n"/>
    </row>
    <row r="1656" ht="80" customHeight="1">
      <c r="A1656" s="22" t="inlineStr">
        <is>
          <t>Назначение и виды. Основные возможности и варианты размещения. Достоинства и недостатки. Основные защитные механизмы: фильтрация пакетов, трансляция сетевых адресов, промежуточная аутентификация, script rejection, проверка почты, виртуальные частные сети, противодействия атакам, нацеленным на нарушение работоспособности сетевых служб, дополнительные функции. Политика безопасности при доступе в сети общего пользования. Демилитаризованная зона.</t>
        </is>
      </c>
      <c r="B1656" s="2" t="n"/>
      <c r="C1656" s="2" t="n"/>
      <c r="D1656" s="2" t="n"/>
      <c r="E1656" s="2" t="n"/>
      <c r="F1656" s="2" t="n"/>
      <c r="G1656" s="2" t="n"/>
    </row>
    <row r="1657" ht="32" customHeight="1">
      <c r="A1657" s="22" t="inlineStr">
        <is>
          <t>Контроль информационного наполнения (контента) электронной почты и web-трафика.</t>
        </is>
      </c>
      <c r="B1657" s="2" t="n"/>
      <c r="C1657" s="2" t="n"/>
      <c r="D1657" s="2" t="n"/>
      <c r="E1657" s="2" t="n"/>
      <c r="F1657" s="2" t="n"/>
      <c r="G1657" s="2" t="n"/>
    </row>
    <row r="1658" ht="32" customHeight="1">
      <c r="A1658" s="22" t="inlineStr">
        <is>
          <t>Компоненты и функционирование систем контроля контента. Политики безопасности, сценарии и варианты применения и реагирования.</t>
        </is>
      </c>
      <c r="B1658" s="2" t="n"/>
      <c r="C1658" s="2" t="n"/>
      <c r="D1658" s="2" t="n"/>
      <c r="E1658" s="2" t="n"/>
      <c r="F1658" s="2" t="n"/>
      <c r="G1658" s="2" t="n"/>
    </row>
    <row r="1659" ht="32" customHeight="1">
      <c r="A1659" s="22" t="inlineStr">
        <is>
          <t>Виртуальные частные сети (VPN).</t>
        </is>
      </c>
      <c r="B1659" s="2" t="n"/>
      <c r="C1659" s="2" t="n"/>
      <c r="D1659" s="2" t="n"/>
      <c r="E1659" s="2" t="n"/>
      <c r="F1659" s="2" t="n"/>
      <c r="G1659" s="2" t="n"/>
    </row>
    <row r="1660" ht="32" customHeight="1">
      <c r="A1660" s="22" t="inlineStr">
        <is>
          <t>Назначение, основные возможности, принципы функционирования и варианты реализации. Структура защищенной корпоративной сети.</t>
        </is>
      </c>
      <c r="B1660" s="2" t="n"/>
      <c r="C1660" s="2" t="n"/>
      <c r="D1660" s="2" t="n"/>
      <c r="E1660" s="2" t="n"/>
      <c r="F1660" s="2" t="n"/>
      <c r="G1660" s="2" t="n"/>
    </row>
    <row r="1661" ht="32" customHeight="1">
      <c r="A1661" s="22" t="inlineStr">
        <is>
          <t>Средства выявления уязвимостей узлов сетей и средства обнаружения атак на узлы, протоколы и сетевые службы.</t>
        </is>
      </c>
      <c r="B1661" s="2" t="n"/>
      <c r="C1661" s="2" t="n"/>
      <c r="D1661" s="2" t="n"/>
      <c r="E1661" s="2" t="n"/>
      <c r="F1661" s="2" t="n"/>
      <c r="G1661" s="2" t="n"/>
    </row>
    <row r="1662" ht="48" customHeight="1">
      <c r="A1662" s="22" t="inlineStr">
        <is>
          <t>Назначение, возможности, принципы работы. Место и роль в общей системе обеспечения безопасности. Сравнение возможностей с межсетевыми экранами. Средства обеспечения адаптивной сетевой безопасности. Варианты решений по обеспечению безопасности сети организации.</t>
        </is>
      </c>
      <c r="B1662" s="2" t="n"/>
      <c r="C1662" s="2" t="n"/>
      <c r="D1662" s="2" t="n"/>
      <c r="E1662" s="2" t="n"/>
      <c r="F1662" s="2" t="n"/>
      <c r="G1662" s="2" t="n"/>
    </row>
    <row r="1663" ht="32" customHeight="1">
      <c r="A1663" s="22" t="inlineStr">
        <is>
          <t>Вопросы круглого стола:</t>
        </is>
      </c>
      <c r="B1663" s="2" t="n"/>
      <c r="C1663" s="2" t="n"/>
      <c r="D1663" s="2" t="n"/>
      <c r="E1663" s="2" t="n"/>
      <c r="F1663" s="2" t="n"/>
      <c r="G1663" s="2" t="n"/>
    </row>
    <row r="1664" ht="32" customHeight="1">
      <c r="A1664" s="22" t="inlineStr">
        <is>
          <t>Общие рекомендации по применению межсетевых экранов.</t>
        </is>
      </c>
      <c r="B1664" s="2" t="n"/>
      <c r="C1664" s="2" t="n"/>
      <c r="D1664" s="2" t="n"/>
      <c r="E1664" s="2" t="n"/>
      <c r="F1664" s="2" t="n"/>
      <c r="G1664" s="2" t="n"/>
    </row>
    <row r="1665" ht="32" customHeight="1">
      <c r="A1665" s="22" t="inlineStr">
        <is>
          <t>Варианты, достоинства и недостатки VPN-решений.</t>
        </is>
      </c>
      <c r="B1665" s="2" t="n"/>
      <c r="C1665" s="2" t="n"/>
      <c r="D1665" s="2" t="n"/>
      <c r="E1665" s="2" t="n"/>
      <c r="F1665" s="2" t="n"/>
      <c r="G1665" s="2" t="n"/>
    </row>
    <row r="1666" ht="32" customHeight="1">
      <c r="A1666" s="22" t="inlineStr">
        <is>
          <t>Общие рекомендации по применению VPN-решений.</t>
        </is>
      </c>
      <c r="B1666" s="2" t="n"/>
      <c r="C1666" s="2" t="n"/>
      <c r="D1666" s="2" t="n"/>
      <c r="E1666" s="2" t="n"/>
      <c r="F1666" s="2" t="n"/>
      <c r="G1666" s="2" t="n"/>
    </row>
    <row r="1667" ht="51" customHeight="1">
      <c r="A1667" s="3" t="inlineStr">
        <is>
          <t>ККС — Кибербезопасность корпоративных систем
Раздел: Технические меры по обеспечению кибербезопасности · УТП: таблица 2, строка 15</t>
        </is>
      </c>
      <c r="B1667" s="4" t="n"/>
      <c r="C1667" s="4" t="n"/>
      <c r="D1667" s="4" t="n"/>
      <c r="E1667" s="4" t="n"/>
      <c r="F1667" s="4" t="n"/>
      <c r="G1667" s="4" t="n"/>
    </row>
    <row r="1668" ht="30" customHeight="1">
      <c r="A1668" s="3" t="inlineStr">
        <is>
          <t>В программе: Тема 1. Обеспечение кибербезопасности компьютерных сетей (2 часа лекции, 2 часа круглый стол).</t>
        </is>
      </c>
      <c r="B1668" s="4" t="n"/>
      <c r="C1668" s="4" t="n"/>
      <c r="D1668" s="4" t="n"/>
      <c r="E1668" s="4" t="n"/>
      <c r="F1668" s="4" t="n"/>
      <c r="G1668" s="4" t="n"/>
    </row>
    <row r="1669" ht="25" customHeight="1">
      <c r="A1669" s="23" t="inlineStr">
        <is>
          <t>Исходная программа ККС ↗</t>
        </is>
      </c>
      <c r="D1669" s="23" t="inlineStr">
        <is>
          <t>Исходный УТП ККС ↗</t>
        </is>
      </c>
    </row>
    <row r="1670" ht="27" customHeight="1">
      <c r="A1670" s="24">
        <f>HYPERLINK("#'Выбор тем'!E"&amp;MATCH("T-25E5D4E2",'Выбор тем'!$A:$A,0),"← Вернуться к теме")</f>
        <v/>
      </c>
    </row>
    <row r="1672" ht="38" customHeight="1">
      <c r="A1672" s="18" t="inlineStr">
        <is>
          <t>Обеспечение логирования в системах с контролем доступа. Журналы безопасности OC Windows/Linux</t>
        </is>
      </c>
      <c r="B1672" s="19" t="n"/>
      <c r="C1672" s="19" t="n"/>
      <c r="D1672" s="19" t="n"/>
      <c r="E1672" s="19" t="n"/>
      <c r="F1672" s="19" t="n"/>
      <c r="G1672" s="19" t="n"/>
    </row>
    <row r="1673" ht="26" customHeight="1">
      <c r="A1673" s="3" t="inlineStr">
        <is>
          <t>T-02A02E6B · Программы: ОКБО</t>
        </is>
      </c>
      <c r="B1673" s="4" t="n"/>
      <c r="C1673" s="4" t="n"/>
      <c r="D1673" s="4" t="n"/>
      <c r="E1673" s="4" t="n"/>
      <c r="F1673" s="4" t="n"/>
      <c r="G1673" s="4" t="n"/>
    </row>
    <row r="1674" ht="27" customHeight="1">
      <c r="A1674" s="20" t="inlineStr">
        <is>
          <t>Вариант для: ОКБО</t>
        </is>
      </c>
      <c r="B1674" s="21" t="n"/>
      <c r="C1674" s="21" t="n"/>
      <c r="D1674" s="21" t="n"/>
      <c r="E1674" s="21" t="n"/>
      <c r="F1674" s="21" t="n"/>
      <c r="G1674" s="21" t="n"/>
    </row>
    <row r="1675" ht="64" customHeight="1">
      <c r="A1675" s="22" t="inlineStr">
        <is>
          <t>Определение обязательного набора событий для логирования: аутентификация, привилегированные операции, доступ к критическим данным. Windows: Event Log, расширенный аудит, контроль политики аудита. Linux: auditd, rsyslog, централизованная отправка в SIEM. Как читать логи: базовые команды. Уровни важности и facility. Централизованный сбор логов, cинхронизация времени (NTP), ротация и retention-политики.</t>
        </is>
      </c>
      <c r="B1675" s="2" t="n"/>
      <c r="C1675" s="2" t="n"/>
      <c r="D1675" s="2" t="n"/>
      <c r="E1675" s="2" t="n"/>
      <c r="F1675" s="2" t="n"/>
      <c r="G1675" s="2" t="n"/>
    </row>
    <row r="1676" ht="51" customHeight="1">
      <c r="A1676" s="3" t="inlineStr">
        <is>
          <t>ОКБО — Обеспечение кибербезопасности организаций
Раздел: Управление доступом и аутентификация · УТП: таблица 2, строка 25</t>
        </is>
      </c>
      <c r="B1676" s="4" t="n"/>
      <c r="C1676" s="4" t="n"/>
      <c r="D1676" s="4" t="n"/>
      <c r="E1676" s="4" t="n"/>
      <c r="F1676" s="4" t="n"/>
      <c r="G1676" s="4" t="n"/>
    </row>
    <row r="1677" ht="30" customHeight="1">
      <c r="A1677" s="3" t="inlineStr">
        <is>
          <t>В программе: Тема 3. Обеспечение логирования в системах с контролем доступа. Журналы безопасности OC Windows/Linux (1 час лекции).</t>
        </is>
      </c>
      <c r="B1677" s="4" t="n"/>
      <c r="C1677" s="4" t="n"/>
      <c r="D1677" s="4" t="n"/>
      <c r="E1677" s="4" t="n"/>
      <c r="F1677" s="4" t="n"/>
      <c r="G1677" s="4" t="n"/>
    </row>
    <row r="1678" ht="25" customHeight="1">
      <c r="A1678" s="23" t="inlineStr">
        <is>
          <t>Исходная программа ОКБО ↗</t>
        </is>
      </c>
      <c r="D1678" s="23" t="inlineStr">
        <is>
          <t>Исходный УТП ОКБО ↗</t>
        </is>
      </c>
    </row>
    <row r="1679" ht="27" customHeight="1">
      <c r="A1679" s="24">
        <f>HYPERLINK("#'Выбор тем'!E"&amp;MATCH("T-02A02E6B",'Выбор тем'!$A:$A,0),"← Вернуться к теме")</f>
        <v/>
      </c>
    </row>
    <row r="1681" ht="38" customHeight="1">
      <c r="A1681" s="18" t="inlineStr">
        <is>
          <t>Обзор платформ: R-Vision TI, MISP и др</t>
        </is>
      </c>
      <c r="B1681" s="19" t="n"/>
      <c r="C1681" s="19" t="n"/>
      <c r="D1681" s="19" t="n"/>
      <c r="E1681" s="19" t="n"/>
      <c r="F1681" s="19" t="n"/>
      <c r="G1681" s="19" t="n"/>
    </row>
    <row r="1682" ht="26" customHeight="1">
      <c r="A1682" s="3" t="inlineStr">
        <is>
          <t>T-05A132EB · Программы: РКИОК</t>
        </is>
      </c>
      <c r="B1682" s="4" t="n"/>
      <c r="C1682" s="4" t="n"/>
      <c r="D1682" s="4" t="n"/>
      <c r="E1682" s="4" t="n"/>
      <c r="F1682" s="4" t="n"/>
      <c r="G1682" s="4" t="n"/>
    </row>
    <row r="1683" ht="27" customHeight="1">
      <c r="A1683" s="20" t="inlineStr">
        <is>
          <t>Вариант для: РКИОК</t>
        </is>
      </c>
      <c r="B1683" s="21" t="n"/>
      <c r="C1683" s="21" t="n"/>
      <c r="D1683" s="21" t="n"/>
      <c r="E1683" s="21" t="n"/>
      <c r="F1683" s="21" t="n"/>
      <c r="G1683" s="21" t="n"/>
    </row>
    <row r="1684" ht="48" customHeight="1">
      <c r="A1684" s="22" t="inlineStr">
        <is>
          <t>Основной функционал R-Vision TI, MISP и иных различных решений. Возможности по агрегированию, корреляции и обмену угрозами. Критерии выбора платформы для конкретной инфраструктуры.</t>
        </is>
      </c>
      <c r="B1684" s="2" t="n"/>
      <c r="C1684" s="2" t="n"/>
      <c r="D1684" s="2" t="n"/>
      <c r="E1684" s="2" t="n"/>
      <c r="F1684" s="2" t="n"/>
      <c r="G1684" s="2" t="n"/>
    </row>
    <row r="1685" ht="51" customHeight="1">
      <c r="A1685" s="3" t="inlineStr">
        <is>
          <t>РКИОК — Реагирование на киберинциденты и отражение кибератак
Раздел: Интеграция и использование TI в ЦКБ · УТП: таблица 2, строка 51</t>
        </is>
      </c>
      <c r="B1685" s="4" t="n"/>
      <c r="C1685" s="4" t="n"/>
      <c r="D1685" s="4" t="n"/>
      <c r="E1685" s="4" t="n"/>
      <c r="F1685" s="4" t="n"/>
      <c r="G1685" s="4" t="n"/>
    </row>
    <row r="1686" ht="30" customHeight="1">
      <c r="A1686" s="3" t="inlineStr">
        <is>
          <t>В программе: Тема 1. Обзор платформ: R-Vision TI, MISP и др. (1 час лекции).</t>
        </is>
      </c>
      <c r="B1686" s="4" t="n"/>
      <c r="C1686" s="4" t="n"/>
      <c r="D1686" s="4" t="n"/>
      <c r="E1686" s="4" t="n"/>
      <c r="F1686" s="4" t="n"/>
      <c r="G1686" s="4" t="n"/>
    </row>
    <row r="1687" ht="25" customHeight="1">
      <c r="A1687" s="23" t="inlineStr">
        <is>
          <t>Исходная программа РКИОК ↗</t>
        </is>
      </c>
      <c r="D1687" s="23" t="inlineStr">
        <is>
          <t>Исходный УТП РКИОК ↗</t>
        </is>
      </c>
    </row>
    <row r="1688" ht="27" customHeight="1">
      <c r="A1688" s="24">
        <f>HYPERLINK("#'Выбор тем'!E"&amp;MATCH("T-05A132EB",'Выбор тем'!$A:$A,0),"← Вернуться к теме")</f>
        <v/>
      </c>
    </row>
    <row r="1690" ht="38" customHeight="1">
      <c r="A1690" s="18" t="inlineStr">
        <is>
          <t>Обзор популярных российских SOAR-платформ: R-Vision SOAR, Security Vision SOAR</t>
        </is>
      </c>
      <c r="B1690" s="19" t="n"/>
      <c r="C1690" s="19" t="n"/>
      <c r="D1690" s="19" t="n"/>
      <c r="E1690" s="19" t="n"/>
      <c r="F1690" s="19" t="n"/>
      <c r="G1690" s="19" t="n"/>
    </row>
    <row r="1691" ht="26" customHeight="1">
      <c r="A1691" s="3" t="inlineStr">
        <is>
          <t>T-D7D89656 · Программы: РКИОК</t>
        </is>
      </c>
      <c r="B1691" s="4" t="n"/>
      <c r="C1691" s="4" t="n"/>
      <c r="D1691" s="4" t="n"/>
      <c r="E1691" s="4" t="n"/>
      <c r="F1691" s="4" t="n"/>
      <c r="G1691" s="4" t="n"/>
    </row>
    <row r="1692" ht="27" customHeight="1">
      <c r="A1692" s="20" t="inlineStr">
        <is>
          <t>Вариант для: РКИОК</t>
        </is>
      </c>
      <c r="B1692" s="21" t="n"/>
      <c r="C1692" s="21" t="n"/>
      <c r="D1692" s="21" t="n"/>
      <c r="E1692" s="21" t="n"/>
      <c r="F1692" s="21" t="n"/>
      <c r="G1692" s="21" t="n"/>
    </row>
    <row r="1693" ht="48" customHeight="1">
      <c r="A1693" s="22" t="inlineStr">
        <is>
          <t>Краткая характеристика каждой платформы: особенности интерфейса, поддерживаемые интеграции. Сравнение функционала, масштабируемости и стоимости. Рекомендации по выбору в зависимости от задач организации.</t>
        </is>
      </c>
      <c r="B1693" s="2" t="n"/>
      <c r="C1693" s="2" t="n"/>
      <c r="D1693" s="2" t="n"/>
      <c r="E1693" s="2" t="n"/>
      <c r="F1693" s="2" t="n"/>
      <c r="G1693" s="2" t="n"/>
    </row>
    <row r="1694" ht="51" customHeight="1">
      <c r="A1694" s="3" t="inlineStr">
        <is>
          <t>РКИОК — Реагирование на киберинциденты и отражение кибератак
Раздел: Введение в SOAR и TI · УТП: таблица 2, строка 36</t>
        </is>
      </c>
      <c r="B1694" s="4" t="n"/>
      <c r="C1694" s="4" t="n"/>
      <c r="D1694" s="4" t="n"/>
      <c r="E1694" s="4" t="n"/>
      <c r="F1694" s="4" t="n"/>
      <c r="G1694" s="4" t="n"/>
    </row>
    <row r="1695" ht="30" customHeight="1">
      <c r="A1695" s="3" t="inlineStr">
        <is>
          <t>В программе: Тема 3. Обзор популярных российских SOAR-платформ: R-Vision SOAR, Security Vision SOAR (1 час лекции).</t>
        </is>
      </c>
      <c r="B1695" s="4" t="n"/>
      <c r="C1695" s="4" t="n"/>
      <c r="D1695" s="4" t="n"/>
      <c r="E1695" s="4" t="n"/>
      <c r="F1695" s="4" t="n"/>
      <c r="G1695" s="4" t="n"/>
    </row>
    <row r="1696" ht="25" customHeight="1">
      <c r="A1696" s="23" t="inlineStr">
        <is>
          <t>Исходная программа РКИОК ↗</t>
        </is>
      </c>
      <c r="D1696" s="23" t="inlineStr">
        <is>
          <t>Исходный УТП РКИОК ↗</t>
        </is>
      </c>
    </row>
    <row r="1697" ht="27" customHeight="1">
      <c r="A1697" s="24">
        <f>HYPERLINK("#'Выбор тем'!E"&amp;MATCH("T-D7D89656",'Выбор тем'!$A:$A,0),"← Вернуться к теме")</f>
        <v/>
      </c>
    </row>
    <row r="1699" ht="38" customHeight="1">
      <c r="A1699" s="18" t="inlineStr">
        <is>
          <t>Обзор правового регулирования и стандартов в сфере ИИ</t>
        </is>
      </c>
      <c r="B1699" s="19" t="n"/>
      <c r="C1699" s="19" t="n"/>
      <c r="D1699" s="19" t="n"/>
      <c r="E1699" s="19" t="n"/>
      <c r="F1699" s="19" t="n"/>
      <c r="G1699" s="19" t="n"/>
    </row>
    <row r="1700" ht="26" customHeight="1">
      <c r="A1700" s="3" t="inlineStr">
        <is>
          <t>T-6206C2D9 · Программы: ПТИИМ</t>
        </is>
      </c>
      <c r="B1700" s="4" t="n"/>
      <c r="C1700" s="4" t="n"/>
      <c r="D1700" s="4" t="n"/>
      <c r="E1700" s="4" t="n"/>
      <c r="F1700" s="4" t="n"/>
      <c r="G1700" s="4" t="n"/>
    </row>
    <row r="1701" ht="27" customHeight="1">
      <c r="A1701" s="20" t="inlineStr">
        <is>
          <t>Вариант для: ПТИИМ</t>
        </is>
      </c>
      <c r="B1701" s="21" t="n"/>
      <c r="C1701" s="21" t="n"/>
      <c r="D1701" s="21" t="n"/>
      <c r="E1701" s="21" t="n"/>
      <c r="F1701" s="21" t="n"/>
      <c r="G1701" s="21" t="n"/>
    </row>
    <row r="1702" ht="48" customHeight="1">
      <c r="A1702" s="22" t="inlineStr">
        <is>
          <t>Обзор действующих международных и национальных стандартов, устанавливающих требования к системам ИИ, данным, процессам управления рисками, качеству, безопасности и надежности ИИ-решений.</t>
        </is>
      </c>
      <c r="B1702" s="2" t="n"/>
      <c r="C1702" s="2" t="n"/>
      <c r="D1702" s="2" t="n"/>
      <c r="E1702" s="2" t="n"/>
      <c r="F1702" s="2" t="n"/>
      <c r="G1702" s="2" t="n"/>
    </row>
    <row r="1703" ht="48" customHeight="1">
      <c r="A1703" s="22" t="inlineStr">
        <is>
          <t>Проекты стандартов и перспективные направления развития нормативно-технического регулирования технологий ИИ. Порядок разработки и актуализации стандартов с учетом развития технологий и изменения характера связанных с ними рисков.</t>
        </is>
      </c>
      <c r="B1703" s="2" t="n"/>
      <c r="C1703" s="2" t="n"/>
      <c r="D1703" s="2" t="n"/>
      <c r="E1703" s="2" t="n"/>
      <c r="F1703" s="2" t="n"/>
      <c r="G1703" s="2" t="n"/>
    </row>
    <row r="1704" ht="32" customHeight="1">
      <c r="A1704" s="22" t="inlineStr">
        <is>
          <t>Влияние стандартизации на обеспечение совместимости, прозрачности, управляемости и безопасности систем искусственного интеллекта.</t>
        </is>
      </c>
      <c r="B1704" s="2" t="n"/>
      <c r="C1704" s="2" t="n"/>
      <c r="D1704" s="2" t="n"/>
      <c r="E1704" s="2" t="n"/>
      <c r="F1704" s="2" t="n"/>
      <c r="G1704" s="2" t="n"/>
    </row>
    <row r="1705" ht="48" customHeight="1">
      <c r="A1705" s="22" t="inlineStr">
        <is>
          <t>Правовые основы разработки и использования технологий ИИ. Обзор международных подходов к регулированию ИИ и основных положений национального законодательства.</t>
        </is>
      </c>
      <c r="B1705" s="2" t="n"/>
      <c r="C1705" s="2" t="n"/>
      <c r="D1705" s="2" t="n"/>
      <c r="E1705" s="2" t="n"/>
      <c r="F1705" s="2" t="n"/>
      <c r="G1705" s="2" t="n"/>
    </row>
    <row r="1706" ht="32" customHeight="1">
      <c r="A1706" s="22" t="inlineStr">
        <is>
          <t>Правовые риски, возникающие при обработке данных, использовании результатов работы ИИ-систем и принятии автоматизированных решений.</t>
        </is>
      </c>
      <c r="B1706" s="2" t="n"/>
      <c r="C1706" s="2" t="n"/>
      <c r="D1706" s="2" t="n"/>
      <c r="E1706" s="2" t="n"/>
      <c r="F1706" s="2" t="n"/>
      <c r="G1706" s="2" t="n"/>
    </row>
    <row r="1707" ht="51" customHeight="1">
      <c r="A1707" s="3" t="inlineStr">
        <is>
          <t>ПТИИМ — Применение технологий искусственного интеллекта и машинного обучения в информационной и кибербезопасности
Раздел: Основы ИИ и машинного обучения · УТП: таблица 2, строка 7</t>
        </is>
      </c>
      <c r="B1707" s="4" t="n"/>
      <c r="C1707" s="4" t="n"/>
      <c r="D1707" s="4" t="n"/>
      <c r="E1707" s="4" t="n"/>
      <c r="F1707" s="4" t="n"/>
      <c r="G1707" s="4" t="n"/>
    </row>
    <row r="1708" ht="30" customHeight="1">
      <c r="A1708" s="3" t="inlineStr">
        <is>
          <t>В программе: Тема 2. Обзор правового регулирования и стандартов в сфере ИИ (4 часа лекции).</t>
        </is>
      </c>
      <c r="B1708" s="4" t="n"/>
      <c r="C1708" s="4" t="n"/>
      <c r="D1708" s="4" t="n"/>
      <c r="E1708" s="4" t="n"/>
      <c r="F1708" s="4" t="n"/>
      <c r="G1708" s="4" t="n"/>
    </row>
    <row r="1709" ht="25" customHeight="1">
      <c r="A1709" s="23" t="inlineStr">
        <is>
          <t>Исходная программа ПТИИМ ↗</t>
        </is>
      </c>
      <c r="D1709" s="23" t="inlineStr">
        <is>
          <t>Исходный УТП ПТИИМ ↗</t>
        </is>
      </c>
    </row>
    <row r="1710" ht="27" customHeight="1">
      <c r="A1710" s="24">
        <f>HYPERLINK("#'Выбор тем'!E"&amp;MATCH("T-6206C2D9",'Выбор тем'!$A:$A,0),"← Вернуться к теме")</f>
        <v/>
      </c>
    </row>
    <row r="1712" ht="38" customHeight="1">
      <c r="A1712" s="18" t="inlineStr">
        <is>
          <t>Обзор требований по обеспечению кибербезопасности различных объектов информационной инфраструктуры</t>
        </is>
      </c>
      <c r="B1712" s="19" t="n"/>
      <c r="C1712" s="19" t="n"/>
      <c r="D1712" s="19" t="n"/>
      <c r="E1712" s="19" t="n"/>
      <c r="F1712" s="19" t="n"/>
      <c r="G1712" s="19" t="n"/>
    </row>
    <row r="1713" ht="26" customHeight="1">
      <c r="A1713" s="3" t="inlineStr">
        <is>
          <t>T-9D2470BA · Программы: КО</t>
        </is>
      </c>
      <c r="B1713" s="4" t="n"/>
      <c r="C1713" s="4" t="n"/>
      <c r="D1713" s="4" t="n"/>
      <c r="E1713" s="4" t="n"/>
      <c r="F1713" s="4" t="n"/>
      <c r="G1713" s="4" t="n"/>
    </row>
    <row r="1714" ht="27" customHeight="1">
      <c r="A1714" s="20" t="inlineStr">
        <is>
          <t>Вариант для: КО</t>
        </is>
      </c>
      <c r="B1714" s="21" t="n"/>
      <c r="C1714" s="21" t="n"/>
      <c r="D1714" s="21" t="n"/>
      <c r="E1714" s="21" t="n"/>
      <c r="F1714" s="21" t="n"/>
      <c r="G1714" s="21" t="n"/>
    </row>
    <row r="1715" ht="64" customHeight="1">
      <c r="A1715" s="22" t="inlineStr">
        <is>
          <t>Требования по обеспечению кибербезопасности объектов информационной инфраструктуры. Требования к системе защиты информации, подлежащие включению в техническое задание. Организационные и технические меры, реализуемые в системе информационной безопасности критически важного объекта информатизации.</t>
        </is>
      </c>
      <c r="B1715" s="2" t="n"/>
      <c r="C1715" s="2" t="n"/>
      <c r="D1715" s="2" t="n"/>
      <c r="E1715" s="2" t="n"/>
      <c r="F1715" s="2" t="n"/>
      <c r="G1715" s="2" t="n"/>
    </row>
    <row r="1716" ht="51" customHeight="1">
      <c r="A1716" s="3" t="inlineStr">
        <is>
          <t>КО — Кибербезопасность государственных и иных организаций
Раздел: Меры по обеспечению кибербезопасности. · УТП: таблица 2, строка 14</t>
        </is>
      </c>
      <c r="B1716" s="4" t="n"/>
      <c r="C1716" s="4" t="n"/>
      <c r="D1716" s="4" t="n"/>
      <c r="E1716" s="4" t="n"/>
      <c r="F1716" s="4" t="n"/>
      <c r="G1716" s="4" t="n"/>
    </row>
    <row r="1717" ht="30" customHeight="1">
      <c r="A1717" s="3" t="inlineStr">
        <is>
          <t>В программе: Тема 2. Обзор требований по обеспечению кибербезопасности различных объектов информационной инфраструктуры (2 часа лекции, 2 часа круглый стол).</t>
        </is>
      </c>
      <c r="B1717" s="4" t="n"/>
      <c r="C1717" s="4" t="n"/>
      <c r="D1717" s="4" t="n"/>
      <c r="E1717" s="4" t="n"/>
      <c r="F1717" s="4" t="n"/>
      <c r="G1717" s="4" t="n"/>
    </row>
    <row r="1718" ht="25" customHeight="1">
      <c r="A1718" s="23" t="inlineStr">
        <is>
          <t>Исходная программа КО ↗</t>
        </is>
      </c>
      <c r="D1718" s="23" t="inlineStr">
        <is>
          <t>Исходный УТП КО ↗</t>
        </is>
      </c>
    </row>
    <row r="1719" ht="27" customHeight="1">
      <c r="A1719" s="24">
        <f>HYPERLINK("#'Выбор тем'!E"&amp;MATCH("T-9D2470BA",'Выбор тем'!$A:$A,0),"← Вернуться к теме")</f>
        <v/>
      </c>
    </row>
    <row r="1721" ht="38" customHeight="1">
      <c r="A1721" s="18" t="inlineStr">
        <is>
          <t>Обзор угроз: вредоносы, фишинг, атаки через социальную инженерию</t>
        </is>
      </c>
      <c r="B1721" s="19" t="n"/>
      <c r="C1721" s="19" t="n"/>
      <c r="D1721" s="19" t="n"/>
      <c r="E1721" s="19" t="n"/>
      <c r="F1721" s="19" t="n"/>
      <c r="G1721" s="19" t="n"/>
    </row>
    <row r="1722" ht="26" customHeight="1">
      <c r="A1722" s="3" t="inlineStr">
        <is>
          <t>T-63831BF0 · Программы: РКИОК</t>
        </is>
      </c>
      <c r="B1722" s="4" t="n"/>
      <c r="C1722" s="4" t="n"/>
      <c r="D1722" s="4" t="n"/>
      <c r="E1722" s="4" t="n"/>
      <c r="F1722" s="4" t="n"/>
      <c r="G1722" s="4" t="n"/>
    </row>
    <row r="1723" ht="27" customHeight="1">
      <c r="A1723" s="20" t="inlineStr">
        <is>
          <t>Вариант для: РКИОК</t>
        </is>
      </c>
      <c r="B1723" s="21" t="n"/>
      <c r="C1723" s="21" t="n"/>
      <c r="D1723" s="21" t="n"/>
      <c r="E1723" s="21" t="n"/>
      <c r="F1723" s="21" t="n"/>
      <c r="G1723" s="21" t="n"/>
    </row>
    <row r="1724" ht="48" customHeight="1">
      <c r="A1724" s="22" t="inlineStr">
        <is>
          <t>Общий обзор современных угроз и их влияние на организации. Обзор вредоносного программного обеспечения (далее – ВПО): типы, примеры. Обзор фишинговых атак: их типы, примеры. Обзор атак с использованием социальной инженерии.</t>
        </is>
      </c>
      <c r="B1724" s="2" t="n"/>
      <c r="C1724" s="2" t="n"/>
      <c r="D1724" s="2" t="n"/>
      <c r="E1724" s="2" t="n"/>
      <c r="F1724" s="2" t="n"/>
      <c r="G1724" s="2" t="n"/>
    </row>
    <row r="1725" ht="51" customHeight="1">
      <c r="A1725" s="3" t="inlineStr">
        <is>
          <t>РКИОК — Реагирование на киберинциденты и отражение кибератак
Раздел: Угрозы информационной безопасности · УТП: таблица 2, строка 6</t>
        </is>
      </c>
      <c r="B1725" s="4" t="n"/>
      <c r="C1725" s="4" t="n"/>
      <c r="D1725" s="4" t="n"/>
      <c r="E1725" s="4" t="n"/>
      <c r="F1725" s="4" t="n"/>
      <c r="G1725" s="4" t="n"/>
    </row>
    <row r="1726" ht="30" customHeight="1">
      <c r="A1726" s="3" t="inlineStr">
        <is>
          <t>В программе: Тема 1. Обзор угроз: вредоносы, фишинг, атаки через социальную инженерию (2 часа лекции).</t>
        </is>
      </c>
      <c r="B1726" s="4" t="n"/>
      <c r="C1726" s="4" t="n"/>
      <c r="D1726" s="4" t="n"/>
      <c r="E1726" s="4" t="n"/>
      <c r="F1726" s="4" t="n"/>
      <c r="G1726" s="4" t="n"/>
    </row>
    <row r="1727" ht="25" customHeight="1">
      <c r="A1727" s="23" t="inlineStr">
        <is>
          <t>Исходная программа РКИОК ↗</t>
        </is>
      </c>
      <c r="D1727" s="23" t="inlineStr">
        <is>
          <t>Исходный УТП РКИОК ↗</t>
        </is>
      </c>
    </row>
    <row r="1728" ht="27" customHeight="1">
      <c r="A1728" s="24">
        <f>HYPERLINK("#'Выбор тем'!E"&amp;MATCH("T-63831BF0",'Выбор тем'!$A:$A,0),"← Вернуться к теме")</f>
        <v/>
      </c>
    </row>
    <row r="1730" ht="38" customHeight="1">
      <c r="A1730" s="18" t="inlineStr">
        <is>
          <t>Обнаружение deepfake</t>
        </is>
      </c>
      <c r="B1730" s="19" t="n"/>
      <c r="C1730" s="19" t="n"/>
      <c r="D1730" s="19" t="n"/>
      <c r="E1730" s="19" t="n"/>
      <c r="F1730" s="19" t="n"/>
      <c r="G1730" s="19" t="n"/>
    </row>
    <row r="1731" ht="26" customHeight="1">
      <c r="A1731" s="3" t="inlineStr">
        <is>
          <t>T-CF0B226D · Программы: ПТИИМ</t>
        </is>
      </c>
      <c r="B1731" s="4" t="n"/>
      <c r="C1731" s="4" t="n"/>
      <c r="D1731" s="4" t="n"/>
      <c r="E1731" s="4" t="n"/>
      <c r="F1731" s="4" t="n"/>
      <c r="G1731" s="4" t="n"/>
    </row>
    <row r="1732" ht="27" customHeight="1">
      <c r="A1732" s="20" t="inlineStr">
        <is>
          <t>Вариант для: ПТИИМ</t>
        </is>
      </c>
      <c r="B1732" s="21" t="n"/>
      <c r="C1732" s="21" t="n"/>
      <c r="D1732" s="21" t="n"/>
      <c r="E1732" s="21" t="n"/>
      <c r="F1732" s="21" t="n"/>
      <c r="G1732" s="21" t="n"/>
    </row>
    <row r="1733" ht="48" customHeight="1">
      <c r="A1733" s="22" t="inlineStr">
        <is>
          <t>Понятие синтетического медиаконтента и технологии deepfake. Основные признаки искусственного создания или изменения изображений, аудио- и видеоматериалов.</t>
        </is>
      </c>
      <c r="B1733" s="2" t="n"/>
      <c r="C1733" s="2" t="n"/>
      <c r="D1733" s="2" t="n"/>
      <c r="E1733" s="2" t="n"/>
      <c r="F1733" s="2" t="n"/>
      <c r="G1733" s="2" t="n"/>
    </row>
    <row r="1734" ht="48" customHeight="1">
      <c r="A1734" s="22" t="inlineStr">
        <is>
          <t>Постановка задачи автоматизированного распознавания подлинного и синтетического контента. Определение требований к исходным данным и результатам работы модели.</t>
        </is>
      </c>
      <c r="B1734" s="2" t="n"/>
      <c r="C1734" s="2" t="n"/>
      <c r="D1734" s="2" t="n"/>
      <c r="E1734" s="2" t="n"/>
      <c r="F1734" s="2" t="n"/>
      <c r="G1734" s="2" t="n"/>
    </row>
    <row r="1735" ht="48" customHeight="1">
      <c r="A1735" s="22" t="inlineStr">
        <is>
          <t>Формирование, разметка и предварительная обработка набора медиаданных. Извлечение признаков, характеризующих возможные следы искусственной генерации или модификации.</t>
        </is>
      </c>
      <c r="B1735" s="2" t="n"/>
      <c r="C1735" s="2" t="n"/>
      <c r="D1735" s="2" t="n"/>
      <c r="E1735" s="2" t="n"/>
      <c r="F1735" s="2" t="n"/>
      <c r="G1735" s="2" t="n"/>
    </row>
    <row r="1736" ht="32" customHeight="1">
      <c r="A1736" s="22" t="inlineStr">
        <is>
          <t>Выбор и обучение модели обнаружения deepfake. Разделение данных на обучающую и тестовую выборки.</t>
        </is>
      </c>
      <c r="B1736" s="2" t="n"/>
      <c r="C1736" s="2" t="n"/>
      <c r="D1736" s="2" t="n"/>
      <c r="E1736" s="2" t="n"/>
      <c r="F1736" s="2" t="n"/>
      <c r="G1736" s="2" t="n"/>
    </row>
    <row r="1737" ht="32" customHeight="1">
      <c r="A1737" s="22" t="inlineStr">
        <is>
          <t>Оценка качества обнаружения синтетического контента и анализ ошибочных решений модели.</t>
        </is>
      </c>
      <c r="B1737" s="2" t="n"/>
      <c r="C1737" s="2" t="n"/>
      <c r="D1737" s="2" t="n"/>
      <c r="E1737" s="2" t="n"/>
      <c r="F1737" s="2" t="n"/>
      <c r="G1737" s="2" t="n"/>
    </row>
    <row r="1738" ht="48" customHeight="1">
      <c r="A1738" s="22" t="inlineStr">
        <is>
          <t>Ограничения методов обнаружения deepfake в условиях развития технологий генерации и появления новых способов создания синтетических медиаматериалов.</t>
        </is>
      </c>
      <c r="B1738" s="2" t="n"/>
      <c r="C1738" s="2" t="n"/>
      <c r="D1738" s="2" t="n"/>
      <c r="E1738" s="2" t="n"/>
      <c r="F1738" s="2" t="n"/>
      <c r="G1738" s="2" t="n"/>
    </row>
    <row r="1739" ht="51" customHeight="1">
      <c r="A1739"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21</t>
        </is>
      </c>
      <c r="B1739" s="4" t="n"/>
      <c r="C1739" s="4" t="n"/>
      <c r="D1739" s="4" t="n"/>
      <c r="E1739" s="4" t="n"/>
      <c r="F1739" s="4" t="n"/>
      <c r="G1739" s="4" t="n"/>
    </row>
    <row r="1740" ht="30" customHeight="1">
      <c r="A1740" s="3" t="inlineStr">
        <is>
          <t>В программе: Тема 4. Обнаружение deepfake (4 часа практические занятия).</t>
        </is>
      </c>
      <c r="B1740" s="4" t="n"/>
      <c r="C1740" s="4" t="n"/>
      <c r="D1740" s="4" t="n"/>
      <c r="E1740" s="4" t="n"/>
      <c r="F1740" s="4" t="n"/>
      <c r="G1740" s="4" t="n"/>
    </row>
    <row r="1741" ht="25" customHeight="1">
      <c r="A1741" s="23" t="inlineStr">
        <is>
          <t>Исходная программа ПТИИМ ↗</t>
        </is>
      </c>
      <c r="D1741" s="23" t="inlineStr">
        <is>
          <t>Исходный УТП ПТИИМ ↗</t>
        </is>
      </c>
    </row>
    <row r="1742" ht="27" customHeight="1">
      <c r="A1742" s="24">
        <f>HYPERLINK("#'Выбор тем'!E"&amp;MATCH("T-CF0B226D",'Выбор тем'!$A:$A,0),"← Вернуться к теме")</f>
        <v/>
      </c>
    </row>
    <row r="1744" ht="38" customHeight="1">
      <c r="A1744" s="18" t="inlineStr">
        <is>
          <t>Обнаружение базовых DGA</t>
        </is>
      </c>
      <c r="B1744" s="19" t="n"/>
      <c r="C1744" s="19" t="n"/>
      <c r="D1744" s="19" t="n"/>
      <c r="E1744" s="19" t="n"/>
      <c r="F1744" s="19" t="n"/>
      <c r="G1744" s="19" t="n"/>
    </row>
    <row r="1745" ht="26" customHeight="1">
      <c r="A1745" s="3" t="inlineStr">
        <is>
          <t>T-E8B695F5 · Программы: ПТИИМ</t>
        </is>
      </c>
      <c r="B1745" s="4" t="n"/>
      <c r="C1745" s="4" t="n"/>
      <c r="D1745" s="4" t="n"/>
      <c r="E1745" s="4" t="n"/>
      <c r="F1745" s="4" t="n"/>
      <c r="G1745" s="4" t="n"/>
    </row>
    <row r="1746" ht="27" customHeight="1">
      <c r="A1746" s="20" t="inlineStr">
        <is>
          <t>Вариант для: ПТИИМ</t>
        </is>
      </c>
      <c r="B1746" s="21" t="n"/>
      <c r="C1746" s="21" t="n"/>
      <c r="D1746" s="21" t="n"/>
      <c r="E1746" s="21" t="n"/>
      <c r="F1746" s="21" t="n"/>
      <c r="G1746" s="21" t="n"/>
    </row>
    <row r="1747" ht="48" customHeight="1">
      <c r="A1747" s="22" t="inlineStr">
        <is>
          <t>Понятие алгоритмов генерации доменных имен (DGA) и их использование вредоносным программным обеспечением для взаимодействия с инфраструктурой злоумышленников.</t>
        </is>
      </c>
      <c r="B1747" s="2" t="n"/>
      <c r="C1747" s="2" t="n"/>
      <c r="D1747" s="2" t="n"/>
      <c r="E1747" s="2" t="n"/>
      <c r="F1747" s="2" t="n"/>
      <c r="G1747" s="2" t="n"/>
    </row>
    <row r="1748" ht="32" customHeight="1">
      <c r="A1748" s="22" t="inlineStr">
        <is>
          <t>Постановка задачи распознавания автоматически сгенерированных доменных имен и их отличия от легитимных доменных имен.</t>
        </is>
      </c>
      <c r="B1748" s="2" t="n"/>
      <c r="C1748" s="2" t="n"/>
      <c r="D1748" s="2" t="n"/>
      <c r="E1748" s="2" t="n"/>
      <c r="F1748" s="2" t="n"/>
      <c r="G1748" s="2" t="n"/>
    </row>
    <row r="1749" ht="32" customHeight="1">
      <c r="A1749" s="22" t="inlineStr">
        <is>
          <t>Формирование набора данных, включающего легитимные и сгенерированные доменные имена. Очистка, разметка и подготовка данных.</t>
        </is>
      </c>
      <c r="B1749" s="2" t="n"/>
      <c r="C1749" s="2" t="n"/>
      <c r="D1749" s="2" t="n"/>
      <c r="E1749" s="2" t="n"/>
      <c r="F1749" s="2" t="n"/>
      <c r="G1749" s="2" t="n"/>
    </row>
    <row r="1750" ht="32" customHeight="1">
      <c r="A1750" s="22" t="inlineStr">
        <is>
          <t>Выделение и преобразование признаков доменных имен, характеризующих их длину, структуру и статистические особенности.</t>
        </is>
      </c>
      <c r="B1750" s="2" t="n"/>
      <c r="C1750" s="2" t="n"/>
      <c r="D1750" s="2" t="n"/>
      <c r="E1750" s="2" t="n"/>
      <c r="F1750" s="2" t="n"/>
      <c r="G1750" s="2" t="n"/>
    </row>
    <row r="1751" ht="32" customHeight="1">
      <c r="A1751" s="22" t="inlineStr">
        <is>
          <t>Выбор алгоритма, обучение и тестирование модели классификации.</t>
        </is>
      </c>
      <c r="B1751" s="2" t="n"/>
      <c r="C1751" s="2" t="n"/>
      <c r="D1751" s="2" t="n"/>
      <c r="E1751" s="2" t="n"/>
      <c r="F1751" s="2" t="n"/>
      <c r="G1751" s="2" t="n"/>
    </row>
    <row r="1752" ht="48" customHeight="1">
      <c r="A1752" s="22" t="inlineStr">
        <is>
          <t>Оценка результатов обнаружения DGA. Анализ ошибок и определение ограничений модели при выявлении ранее неизвестных алгоритмов генерации доменных имен.</t>
        </is>
      </c>
      <c r="B1752" s="2" t="n"/>
      <c r="C1752" s="2" t="n"/>
      <c r="D1752" s="2" t="n"/>
      <c r="E1752" s="2" t="n"/>
      <c r="F1752" s="2" t="n"/>
      <c r="G1752" s="2" t="n"/>
    </row>
    <row r="1753" ht="51" customHeight="1">
      <c r="A1753"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20</t>
        </is>
      </c>
      <c r="B1753" s="4" t="n"/>
      <c r="C1753" s="4" t="n"/>
      <c r="D1753" s="4" t="n"/>
      <c r="E1753" s="4" t="n"/>
      <c r="F1753" s="4" t="n"/>
      <c r="G1753" s="4" t="n"/>
    </row>
    <row r="1754" ht="30" customHeight="1">
      <c r="A1754" s="3" t="inlineStr">
        <is>
          <t>В программе: Тема 3. Обнаружение базовых DGA (4 часа практические занятия).</t>
        </is>
      </c>
      <c r="B1754" s="4" t="n"/>
      <c r="C1754" s="4" t="n"/>
      <c r="D1754" s="4" t="n"/>
      <c r="E1754" s="4" t="n"/>
      <c r="F1754" s="4" t="n"/>
      <c r="G1754" s="4" t="n"/>
    </row>
    <row r="1755" ht="25" customHeight="1">
      <c r="A1755" s="23" t="inlineStr">
        <is>
          <t>Исходная программа ПТИИМ ↗</t>
        </is>
      </c>
      <c r="D1755" s="23" t="inlineStr">
        <is>
          <t>Исходный УТП ПТИИМ ↗</t>
        </is>
      </c>
    </row>
    <row r="1756" ht="27" customHeight="1">
      <c r="A1756" s="24">
        <f>HYPERLINK("#'Выбор тем'!E"&amp;MATCH("T-E8B695F5",'Выбор тем'!$A:$A,0),"← Вернуться к теме")</f>
        <v/>
      </c>
    </row>
    <row r="1758" ht="38" customHeight="1">
      <c r="A1758" s="18" t="inlineStr">
        <is>
          <t>Обнаружение вредоносных файлов</t>
        </is>
      </c>
      <c r="B1758" s="19" t="n"/>
      <c r="C1758" s="19" t="n"/>
      <c r="D1758" s="19" t="n"/>
      <c r="E1758" s="19" t="n"/>
      <c r="F1758" s="19" t="n"/>
      <c r="G1758" s="19" t="n"/>
    </row>
    <row r="1759" ht="26" customHeight="1">
      <c r="A1759" s="3" t="inlineStr">
        <is>
          <t>T-DB346810 · Программы: ПТИИМ</t>
        </is>
      </c>
      <c r="B1759" s="4" t="n"/>
      <c r="C1759" s="4" t="n"/>
      <c r="D1759" s="4" t="n"/>
      <c r="E1759" s="4" t="n"/>
      <c r="F1759" s="4" t="n"/>
      <c r="G1759" s="4" t="n"/>
    </row>
    <row r="1760" ht="27" customHeight="1">
      <c r="A1760" s="20" t="inlineStr">
        <is>
          <t>Вариант для: ПТИИМ</t>
        </is>
      </c>
      <c r="B1760" s="21" t="n"/>
      <c r="C1760" s="21" t="n"/>
      <c r="D1760" s="21" t="n"/>
      <c r="E1760" s="21" t="n"/>
      <c r="F1760" s="21" t="n"/>
      <c r="G1760" s="21" t="n"/>
    </row>
    <row r="1761" ht="48" customHeight="1">
      <c r="A1761" s="22" t="inlineStr">
        <is>
          <t>Постановка задачи автоматизированного выявления вредоносных файлов с использованием методов машинного обучения. Определение критериев классификации безопасных и вредоносных объектов.</t>
        </is>
      </c>
      <c r="B1761" s="2" t="n"/>
      <c r="C1761" s="2" t="n"/>
      <c r="D1761" s="2" t="n"/>
      <c r="E1761" s="2" t="n"/>
      <c r="F1761" s="2" t="n"/>
      <c r="G1761" s="2" t="n"/>
    </row>
    <row r="1762" ht="32" customHeight="1">
      <c r="A1762" s="22" t="inlineStr">
        <is>
          <t>Формирование набора данных и извлечение признаков файлов. Подготовка, очистка, кодирование и нормализация полученных характеристик.</t>
        </is>
      </c>
      <c r="B1762" s="2" t="n"/>
      <c r="C1762" s="2" t="n"/>
      <c r="D1762" s="2" t="n"/>
      <c r="E1762" s="2" t="n"/>
      <c r="F1762" s="2" t="n"/>
      <c r="G1762" s="2" t="n"/>
    </row>
    <row r="1763" ht="32" customHeight="1">
      <c r="A1763" s="22" t="inlineStr">
        <is>
          <t>Выбор алгоритма классификации, разделение данных на обучающую и тестовую выборки, обучение модели.</t>
        </is>
      </c>
      <c r="B1763" s="2" t="n"/>
      <c r="C1763" s="2" t="n"/>
      <c r="D1763" s="2" t="n"/>
      <c r="E1763" s="2" t="n"/>
      <c r="F1763" s="2" t="n"/>
      <c r="G1763" s="2" t="n"/>
    </row>
    <row r="1764" ht="32" customHeight="1">
      <c r="A1764" s="22" t="inlineStr">
        <is>
          <t>Проверка качества модели и анализ результатов классификации файлов. Определение значимых признаков вредоносной активности.</t>
        </is>
      </c>
      <c r="B1764" s="2" t="n"/>
      <c r="C1764" s="2" t="n"/>
      <c r="D1764" s="2" t="n"/>
      <c r="E1764" s="2" t="n"/>
      <c r="F1764" s="2" t="n"/>
      <c r="G1764" s="2" t="n"/>
    </row>
    <row r="1765" ht="32" customHeight="1">
      <c r="A1765" s="22" t="inlineStr">
        <is>
          <t>Исследование ошибочных решений модели. Оценка рисков пропуска вредоносных файлов и ошибочного отнесения безопасных файлов к вредоносным.</t>
        </is>
      </c>
      <c r="B1765" s="2" t="n"/>
      <c r="C1765" s="2" t="n"/>
      <c r="D1765" s="2" t="n"/>
      <c r="E1765" s="2" t="n"/>
      <c r="F1765" s="2" t="n"/>
      <c r="G1765" s="2" t="n"/>
    </row>
    <row r="1766" ht="51" customHeight="1">
      <c r="A1766" s="3" t="inlineStr">
        <is>
          <t>ПТИИМ — Применение технологий искусственного интеллекта и машинного обучения в информационной и кибербезопасности
Раздел: Практические кейсы применения ИИ в ИБ · УТП: таблица 2, строка 19</t>
        </is>
      </c>
      <c r="B1766" s="4" t="n"/>
      <c r="C1766" s="4" t="n"/>
      <c r="D1766" s="4" t="n"/>
      <c r="E1766" s="4" t="n"/>
      <c r="F1766" s="4" t="n"/>
      <c r="G1766" s="4" t="n"/>
    </row>
    <row r="1767" ht="30" customHeight="1">
      <c r="A1767" s="3" t="inlineStr">
        <is>
          <t>В программе: Тема 2. Обнаружение вредоносных файлов (4 часа практические занятия).</t>
        </is>
      </c>
      <c r="B1767" s="4" t="n"/>
      <c r="C1767" s="4" t="n"/>
      <c r="D1767" s="4" t="n"/>
      <c r="E1767" s="4" t="n"/>
      <c r="F1767" s="4" t="n"/>
      <c r="G1767" s="4" t="n"/>
    </row>
    <row r="1768" ht="25" customHeight="1">
      <c r="A1768" s="23" t="inlineStr">
        <is>
          <t>Исходная программа ПТИИМ ↗</t>
        </is>
      </c>
      <c r="D1768" s="23" t="inlineStr">
        <is>
          <t>Исходный УТП ПТИИМ ↗</t>
        </is>
      </c>
    </row>
    <row r="1769" ht="27" customHeight="1">
      <c r="A1769" s="24">
        <f>HYPERLINK("#'Выбор тем'!E"&amp;MATCH("T-DB346810",'Выбор тем'!$A:$A,0),"← Вернуться к теме")</f>
        <v/>
      </c>
    </row>
    <row r="1771" ht="38" customHeight="1">
      <c r="A1771" s="18" t="inlineStr">
        <is>
          <t>Обследование и анализ исходных данных на информационную систему</t>
        </is>
      </c>
      <c r="B1771" s="19" t="n"/>
      <c r="C1771" s="19" t="n"/>
      <c r="D1771" s="19" t="n"/>
      <c r="E1771" s="19" t="n"/>
      <c r="F1771" s="19" t="n"/>
      <c r="G1771" s="19" t="n"/>
    </row>
    <row r="1772" ht="26" customHeight="1">
      <c r="A1772" s="3" t="inlineStr">
        <is>
          <t>T-A696E34C · Программы: ПСАЭ</t>
        </is>
      </c>
      <c r="B1772" s="4" t="n"/>
      <c r="C1772" s="4" t="n"/>
      <c r="D1772" s="4" t="n"/>
      <c r="E1772" s="4" t="n"/>
      <c r="F1772" s="4" t="n"/>
      <c r="G1772" s="4" t="n"/>
    </row>
    <row r="1773" ht="27" customHeight="1">
      <c r="A1773" s="20" t="inlineStr">
        <is>
          <t>Вариант для: ПСАЭ</t>
        </is>
      </c>
      <c r="B1773" s="21" t="n"/>
      <c r="C1773" s="21" t="n"/>
      <c r="D1773" s="21" t="n"/>
      <c r="E1773" s="21" t="n"/>
      <c r="F1773" s="21" t="n"/>
      <c r="G1773" s="21" t="n"/>
    </row>
    <row r="1774" ht="31" customHeight="1">
      <c r="A1774"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1774" s="26" t="n"/>
      <c r="C1774" s="26" t="n"/>
      <c r="D1774" s="26" t="n"/>
      <c r="E1774" s="26" t="n"/>
      <c r="F1774" s="26" t="n"/>
      <c r="G1774" s="26" t="n"/>
    </row>
    <row r="1775" ht="32" customHeight="1">
      <c r="A1775" s="22" t="inlineStr">
        <is>
          <t>Обследование и анализ исходных данных на информационную систему.</t>
        </is>
      </c>
      <c r="B1775" s="2" t="n"/>
      <c r="C1775" s="2" t="n"/>
      <c r="D1775" s="2" t="n"/>
      <c r="E1775" s="2" t="n"/>
      <c r="F1775" s="2" t="n"/>
      <c r="G1775" s="2" t="n"/>
    </row>
    <row r="1776" ht="32" customHeight="1">
      <c r="A1776" s="22" t="inlineStr">
        <is>
          <t>Классификация информационной системы.</t>
        </is>
      </c>
      <c r="B1776" s="2" t="n"/>
      <c r="C1776" s="2" t="n"/>
      <c r="D1776" s="2" t="n"/>
      <c r="E1776" s="2" t="n"/>
      <c r="F1776" s="2" t="n"/>
      <c r="G1776" s="2" t="n"/>
    </row>
    <row r="1777" ht="32" customHeight="1">
      <c r="A1777" s="22" t="inlineStr">
        <is>
          <t>Разработка политики информационной безопасности.</t>
        </is>
      </c>
      <c r="B1777" s="2" t="n"/>
      <c r="C1777" s="2" t="n"/>
      <c r="D1777" s="2" t="n"/>
      <c r="E1777" s="2" t="n"/>
      <c r="F1777" s="2" t="n"/>
      <c r="G1777" s="2" t="n"/>
    </row>
    <row r="1778" ht="32" customHeight="1">
      <c r="A1778" s="22" t="inlineStr">
        <is>
          <t>Разработка технического задания на создание системы защиты информации.</t>
        </is>
      </c>
      <c r="B1778" s="2" t="n"/>
      <c r="C1778" s="2" t="n"/>
      <c r="D1778" s="2" t="n"/>
      <c r="E1778" s="2" t="n"/>
      <c r="F1778" s="2" t="n"/>
      <c r="G1778" s="2" t="n"/>
    </row>
    <row r="1779" ht="51" customHeight="1">
      <c r="A1779"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12</t>
        </is>
      </c>
      <c r="B1779" s="4" t="n"/>
      <c r="C1779" s="4" t="n"/>
      <c r="D1779" s="4" t="n"/>
      <c r="E1779" s="4" t="n"/>
      <c r="F1779" s="4" t="n"/>
      <c r="G1779" s="4" t="n"/>
    </row>
    <row r="1780" ht="30" customHeight="1">
      <c r="A1780" s="3" t="inlineStr">
        <is>
          <t>В программе: Тема 3. Практикум (8 часов практические занятия).</t>
        </is>
      </c>
      <c r="B1780" s="4" t="n"/>
      <c r="C1780" s="4" t="n"/>
      <c r="D1780" s="4" t="n"/>
      <c r="E1780" s="4" t="n"/>
      <c r="F1780" s="4" t="n"/>
      <c r="G1780" s="4" t="n"/>
    </row>
    <row r="1781" ht="25" customHeight="1">
      <c r="A1781" s="23" t="inlineStr">
        <is>
          <t>Исходная программа ПСАЭ ↗</t>
        </is>
      </c>
      <c r="D1781" s="23" t="inlineStr">
        <is>
          <t>Исходный УТП ПСАЭ ↗</t>
        </is>
      </c>
    </row>
    <row r="1782" ht="27" customHeight="1">
      <c r="A1782" s="24">
        <f>HYPERLINK("#'Выбор тем'!E"&amp;MATCH("T-A696E34C",'Выбор тем'!$A:$A,0),"← Вернуться к теме")</f>
        <v/>
      </c>
    </row>
    <row r="1784" ht="38" customHeight="1">
      <c r="A1784" s="18" t="inlineStr">
        <is>
          <t>Объяснимый ИИ</t>
        </is>
      </c>
      <c r="B1784" s="19" t="n"/>
      <c r="C1784" s="19" t="n"/>
      <c r="D1784" s="19" t="n"/>
      <c r="E1784" s="19" t="n"/>
      <c r="F1784" s="19" t="n"/>
      <c r="G1784" s="19" t="n"/>
    </row>
    <row r="1785" ht="26" customHeight="1">
      <c r="A1785" s="3" t="inlineStr">
        <is>
          <t>T-E2D6D3F7 · Программы: ПТИИМ</t>
        </is>
      </c>
      <c r="B1785" s="4" t="n"/>
      <c r="C1785" s="4" t="n"/>
      <c r="D1785" s="4" t="n"/>
      <c r="E1785" s="4" t="n"/>
      <c r="F1785" s="4" t="n"/>
      <c r="G1785" s="4" t="n"/>
    </row>
    <row r="1786" ht="27" customHeight="1">
      <c r="A1786" s="20" t="inlineStr">
        <is>
          <t>Вариант для: ПТИИМ</t>
        </is>
      </c>
      <c r="B1786" s="21" t="n"/>
      <c r="C1786" s="21" t="n"/>
      <c r="D1786" s="21" t="n"/>
      <c r="E1786" s="21" t="n"/>
      <c r="F1786" s="21" t="n"/>
      <c r="G1786" s="21" t="n"/>
    </row>
    <row r="1787" ht="32" customHeight="1">
      <c r="A1787" s="22" t="inlineStr">
        <is>
          <t>Понятие объяснимого ИИ и интерпретируемости моделей машинного обучения.</t>
        </is>
      </c>
      <c r="B1787" s="2" t="n"/>
      <c r="C1787" s="2" t="n"/>
      <c r="D1787" s="2" t="n"/>
      <c r="E1787" s="2" t="n"/>
      <c r="F1787" s="2" t="n"/>
      <c r="G1787" s="2" t="n"/>
    </row>
    <row r="1788" ht="32" customHeight="1">
      <c r="A1788" s="22" t="inlineStr">
        <is>
          <t>Значение объяснимости при принятии решений, оценке рисков, выявлении ошибок и контроле результатов работы ИИ-систем.</t>
        </is>
      </c>
      <c r="B1788" s="2" t="n"/>
      <c r="C1788" s="2" t="n"/>
      <c r="D1788" s="2" t="n"/>
      <c r="E1788" s="2" t="n"/>
      <c r="F1788" s="2" t="n"/>
      <c r="G1788" s="2" t="n"/>
    </row>
    <row r="1789" ht="48" customHeight="1">
      <c r="A1789" s="22" t="inlineStr">
        <is>
          <t>Риски применения моделей типа «черный ящик». Ограниченные возможности проверки причин формирования результата и выявления некорректных зависимостей.</t>
        </is>
      </c>
      <c r="B1789" s="2" t="n"/>
      <c r="C1789" s="2" t="n"/>
      <c r="D1789" s="2" t="n"/>
      <c r="E1789" s="2" t="n"/>
      <c r="F1789" s="2" t="n"/>
      <c r="G1789" s="2" t="n"/>
    </row>
    <row r="1790" ht="32" customHeight="1">
      <c r="A1790" s="22" t="inlineStr">
        <is>
          <t>Глобальная и локальная объяснимость моделей. Анализ общих закономерностей работы модели и объяснение отдельных прогнозов или решений.</t>
        </is>
      </c>
      <c r="B1790" s="2" t="n"/>
      <c r="C1790" s="2" t="n"/>
      <c r="D1790" s="2" t="n"/>
      <c r="E1790" s="2" t="n"/>
      <c r="F1790" s="2" t="n"/>
      <c r="G1790" s="2" t="n"/>
    </row>
    <row r="1791" ht="32" customHeight="1">
      <c r="A1791" s="22" t="inlineStr">
        <is>
          <t>Оценка важности признаков (feature importance) и ее использование для определения факторов, оказывающих наибольшее влияние на результаты модели.</t>
        </is>
      </c>
      <c r="B1791" s="2" t="n"/>
      <c r="C1791" s="2" t="n"/>
      <c r="D1791" s="2" t="n"/>
      <c r="E1791" s="2" t="n"/>
      <c r="F1791" s="2" t="n"/>
      <c r="G1791" s="2" t="n"/>
    </row>
    <row r="1792" ht="32" customHeight="1">
      <c r="A1792" s="22" t="inlineStr">
        <is>
          <t>Методы SHAP и LIME: назначение, основные принципы формирования объяснений и особенности интерпретации результатов.</t>
        </is>
      </c>
      <c r="B1792" s="2" t="n"/>
      <c r="C1792" s="2" t="n"/>
      <c r="D1792" s="2" t="n"/>
      <c r="E1792" s="2" t="n"/>
      <c r="F1792" s="2" t="n"/>
      <c r="G1792" s="2" t="n"/>
    </row>
    <row r="1793" ht="48" customHeight="1">
      <c r="A1793" s="22" t="inlineStr">
        <is>
          <t>Ограничения методов объяснимого ИИ. Ошибки интерпретации, нестабильность объяснений и риск формирования правдоподобных, но недостоверных выводов.</t>
        </is>
      </c>
      <c r="B1793" s="2" t="n"/>
      <c r="C1793" s="2" t="n"/>
      <c r="D1793" s="2" t="n"/>
      <c r="E1793" s="2" t="n"/>
      <c r="F1793" s="2" t="n"/>
      <c r="G1793" s="2" t="n"/>
    </row>
    <row r="1794" ht="51" customHeight="1">
      <c r="A1794"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13</t>
        </is>
      </c>
      <c r="B1794" s="4" t="n"/>
      <c r="C1794" s="4" t="n"/>
      <c r="D1794" s="4" t="n"/>
      <c r="E1794" s="4" t="n"/>
      <c r="F1794" s="4" t="n"/>
      <c r="G1794" s="4" t="n"/>
    </row>
    <row r="1795" ht="30" customHeight="1">
      <c r="A1795" s="3" t="inlineStr">
        <is>
          <t>В программе: Тема 3. Объяснимый ИИ (4 часа лекции).</t>
        </is>
      </c>
      <c r="B1795" s="4" t="n"/>
      <c r="C1795" s="4" t="n"/>
      <c r="D1795" s="4" t="n"/>
      <c r="E1795" s="4" t="n"/>
      <c r="F1795" s="4" t="n"/>
      <c r="G1795" s="4" t="n"/>
    </row>
    <row r="1796" ht="25" customHeight="1">
      <c r="A1796" s="23" t="inlineStr">
        <is>
          <t>Исходная программа ПТИИМ ↗</t>
        </is>
      </c>
      <c r="D1796" s="23" t="inlineStr">
        <is>
          <t>Исходный УТП ПТИИМ ↗</t>
        </is>
      </c>
    </row>
    <row r="1797" ht="27" customHeight="1">
      <c r="A1797" s="24">
        <f>HYPERLINK("#'Выбор тем'!E"&amp;MATCH("T-E2D6D3F7",'Выбор тем'!$A:$A,0),"← Вернуться к теме")</f>
        <v/>
      </c>
    </row>
    <row r="1799" ht="38" customHeight="1">
      <c r="A1799" s="18" t="inlineStr">
        <is>
          <t>Определение и функциональная архитектура платформ SOAR</t>
        </is>
      </c>
      <c r="B1799" s="19" t="n"/>
      <c r="C1799" s="19" t="n"/>
      <c r="D1799" s="19" t="n"/>
      <c r="E1799" s="19" t="n"/>
      <c r="F1799" s="19" t="n"/>
      <c r="G1799" s="19" t="n"/>
    </row>
    <row r="1800" ht="26" customHeight="1">
      <c r="A1800" s="3" t="inlineStr">
        <is>
          <t>T-6363F810 · Программы: РКИОК</t>
        </is>
      </c>
      <c r="B1800" s="4" t="n"/>
      <c r="C1800" s="4" t="n"/>
      <c r="D1800" s="4" t="n"/>
      <c r="E1800" s="4" t="n"/>
      <c r="F1800" s="4" t="n"/>
      <c r="G1800" s="4" t="n"/>
    </row>
    <row r="1801" ht="27" customHeight="1">
      <c r="A1801" s="20" t="inlineStr">
        <is>
          <t>Вариант для: РКИОК</t>
        </is>
      </c>
      <c r="B1801" s="21" t="n"/>
      <c r="C1801" s="21" t="n"/>
      <c r="D1801" s="21" t="n"/>
      <c r="E1801" s="21" t="n"/>
      <c r="F1801" s="21" t="n"/>
      <c r="G1801" s="21" t="n"/>
    </row>
    <row r="1802" ht="48" customHeight="1">
      <c r="A1802" s="22" t="inlineStr">
        <is>
          <t>Понятие Security Orchestration, Automation and Response и его цель. Составляющие платформы: оркестратор, хранилище, интерфейсы. Преимущества внедрения SOAR в процессах ЦКБ.</t>
        </is>
      </c>
      <c r="B1802" s="2" t="n"/>
      <c r="C1802" s="2" t="n"/>
      <c r="D1802" s="2" t="n"/>
      <c r="E1802" s="2" t="n"/>
      <c r="F1802" s="2" t="n"/>
      <c r="G1802" s="2" t="n"/>
    </row>
    <row r="1803" ht="51" customHeight="1">
      <c r="A1803" s="3" t="inlineStr">
        <is>
          <t>РКИОК — Реагирование на киберинциденты и отражение кибератак
Раздел: Введение в SOAR и TI · УТП: таблица 2, строка 34</t>
        </is>
      </c>
      <c r="B1803" s="4" t="n"/>
      <c r="C1803" s="4" t="n"/>
      <c r="D1803" s="4" t="n"/>
      <c r="E1803" s="4" t="n"/>
      <c r="F1803" s="4" t="n"/>
      <c r="G1803" s="4" t="n"/>
    </row>
    <row r="1804" ht="30" customHeight="1">
      <c r="A1804" s="3" t="inlineStr">
        <is>
          <t>В программе: Тема 1. Определение и функциональная архитектура платформ SOAR (1 час лекции).</t>
        </is>
      </c>
      <c r="B1804" s="4" t="n"/>
      <c r="C1804" s="4" t="n"/>
      <c r="D1804" s="4" t="n"/>
      <c r="E1804" s="4" t="n"/>
      <c r="F1804" s="4" t="n"/>
      <c r="G1804" s="4" t="n"/>
    </row>
    <row r="1805" ht="25" customHeight="1">
      <c r="A1805" s="23" t="inlineStr">
        <is>
          <t>Исходная программа РКИОК ↗</t>
        </is>
      </c>
      <c r="D1805" s="23" t="inlineStr">
        <is>
          <t>Исходный УТП РКИОК ↗</t>
        </is>
      </c>
    </row>
    <row r="1806" ht="27" customHeight="1">
      <c r="A1806" s="24">
        <f>HYPERLINK("#'Выбор тем'!E"&amp;MATCH("T-6363F810",'Выбор тем'!$A:$A,0),"← Вернуться к теме")</f>
        <v/>
      </c>
    </row>
    <row r="1808" ht="38" customHeight="1">
      <c r="A1808" s="18" t="inlineStr">
        <is>
          <t>Определение перечня и разработка локальных правовых актов, регламентирующих вопросы защиты информации</t>
        </is>
      </c>
      <c r="B1808" s="19" t="n"/>
      <c r="C1808" s="19" t="n"/>
      <c r="D1808" s="19" t="n"/>
      <c r="E1808" s="19" t="n"/>
      <c r="F1808" s="19" t="n"/>
      <c r="G1808" s="19" t="n"/>
    </row>
    <row r="1809" ht="26" customHeight="1">
      <c r="A1809" s="3" t="inlineStr">
        <is>
          <t>T-A152100E · Программы: ПСАЭ</t>
        </is>
      </c>
      <c r="B1809" s="4" t="n"/>
      <c r="C1809" s="4" t="n"/>
      <c r="D1809" s="4" t="n"/>
      <c r="E1809" s="4" t="n"/>
      <c r="F1809" s="4" t="n"/>
      <c r="G1809" s="4" t="n"/>
    </row>
    <row r="1810" ht="27" customHeight="1">
      <c r="A1810" s="20" t="inlineStr">
        <is>
          <t>Вариант для: ПСАЭ</t>
        </is>
      </c>
      <c r="B1810" s="21" t="n"/>
      <c r="C1810" s="21" t="n"/>
      <c r="D1810" s="21" t="n"/>
      <c r="E1810" s="21" t="n"/>
      <c r="F1810" s="21" t="n"/>
      <c r="G1810" s="21" t="n"/>
    </row>
    <row r="1811" ht="31" customHeight="1">
      <c r="A1811"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1811" s="26" t="n"/>
      <c r="C1811" s="26" t="n"/>
      <c r="D1811" s="26" t="n"/>
      <c r="E1811" s="26" t="n"/>
      <c r="F1811" s="26" t="n"/>
      <c r="G1811" s="26" t="n"/>
    </row>
    <row r="1812" ht="32" customHeight="1">
      <c r="A1812" s="22" t="inlineStr">
        <is>
          <t>Разработка структурной и логической схем системы защиты информации.</t>
        </is>
      </c>
      <c r="B1812" s="2" t="n"/>
      <c r="C1812" s="2" t="n"/>
      <c r="D1812" s="2" t="n"/>
      <c r="E1812" s="2" t="n"/>
      <c r="F1812" s="2" t="n"/>
      <c r="G1812" s="2" t="n"/>
    </row>
    <row r="1813" ht="32" customHeight="1">
      <c r="A1813" s="22" t="inlineStr">
        <is>
          <t>Определение перечня и разработка локальных правовых актов, регламентирующих вопросы защиты информации.</t>
        </is>
      </c>
      <c r="B1813" s="2" t="n"/>
      <c r="C1813" s="2" t="n"/>
      <c r="D1813" s="2" t="n"/>
      <c r="E1813" s="2" t="n"/>
      <c r="F1813" s="2" t="n"/>
      <c r="G1813" s="2" t="n"/>
    </row>
    <row r="1814" ht="32" customHeight="1">
      <c r="A1814" s="22" t="inlineStr">
        <is>
          <t>Подготовка исходных данных к проведению аттестации системы защиты информации.</t>
        </is>
      </c>
      <c r="B1814" s="2" t="n"/>
      <c r="C1814" s="2" t="n"/>
      <c r="D1814" s="2" t="n"/>
      <c r="E1814" s="2" t="n"/>
      <c r="F1814" s="2" t="n"/>
      <c r="G1814" s="2" t="n"/>
    </row>
    <row r="1815" ht="51" customHeight="1">
      <c r="A1815"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27</t>
        </is>
      </c>
      <c r="B1815" s="4" t="n"/>
      <c r="C1815" s="4" t="n"/>
      <c r="D1815" s="4" t="n"/>
      <c r="E1815" s="4" t="n"/>
      <c r="F1815" s="4" t="n"/>
      <c r="G1815" s="4" t="n"/>
    </row>
    <row r="1816" ht="30" customHeight="1">
      <c r="A1816" s="3" t="inlineStr">
        <is>
          <t>В программе: Тема 9. Практикум (6 часов практические занятия).</t>
        </is>
      </c>
      <c r="B1816" s="4" t="n"/>
      <c r="C1816" s="4" t="n"/>
      <c r="D1816" s="4" t="n"/>
      <c r="E1816" s="4" t="n"/>
      <c r="F1816" s="4" t="n"/>
      <c r="G1816" s="4" t="n"/>
    </row>
    <row r="1817" ht="25" customHeight="1">
      <c r="A1817" s="23" t="inlineStr">
        <is>
          <t>Исходная программа ПСАЭ ↗</t>
        </is>
      </c>
      <c r="D1817" s="23" t="inlineStr">
        <is>
          <t>Исходный УТП ПСАЭ ↗</t>
        </is>
      </c>
    </row>
    <row r="1818" ht="27" customHeight="1">
      <c r="A1818" s="24">
        <f>HYPERLINK("#'Выбор тем'!E"&amp;MATCH("T-A152100E",'Выбор тем'!$A:$A,0),"← Вернуться к теме")</f>
        <v/>
      </c>
    </row>
    <row r="1820" ht="38" customHeight="1">
      <c r="A1820" s="18" t="inlineStr">
        <is>
          <t>Оптические сети и технологии xPON</t>
        </is>
      </c>
      <c r="B1820" s="19" t="n"/>
      <c r="C1820" s="19" t="n"/>
      <c r="D1820" s="19" t="n"/>
      <c r="E1820" s="19" t="n"/>
      <c r="F1820" s="19" t="n"/>
      <c r="G1820" s="19" t="n"/>
    </row>
    <row r="1821" ht="26" customHeight="1">
      <c r="A1821" s="3" t="inlineStr">
        <is>
          <t>T-44810CEF · Программы: ОПКС</t>
        </is>
      </c>
      <c r="B1821" s="4" t="n"/>
      <c r="C1821" s="4" t="n"/>
      <c r="D1821" s="4" t="n"/>
      <c r="E1821" s="4" t="n"/>
      <c r="F1821" s="4" t="n"/>
      <c r="G1821" s="4" t="n"/>
    </row>
    <row r="1822" ht="27" customHeight="1">
      <c r="A1822" s="20" t="inlineStr">
        <is>
          <t>Вариант для: ОПКС</t>
        </is>
      </c>
      <c r="B1822" s="21" t="n"/>
      <c r="C1822" s="21" t="n"/>
      <c r="D1822" s="21" t="n"/>
      <c r="E1822" s="21" t="n"/>
      <c r="F1822" s="21" t="n"/>
      <c r="G1822" s="21" t="n"/>
    </row>
    <row r="1823" ht="80" customHeight="1">
      <c r="A1823" s="22" t="inlineStr">
        <is>
          <t>Технологии пассивных оптических сетей. Их особенности и отличительные черты. Разновидности xPON (Passive Optical Network) сетей. Основные характеристики. Топологии xPON, их сравнительная характеристика. Оборудование, используемое для организации xPON сетей. Схема пассивной оптической сети, описание ее основных участков. Назначение WDM, ODF, OLT, ОРШ, ОРК, ONT. Одноуровневая и многокаскадная схема размещения сплиттеров. Резервирование xPON. Расчеты затухания оптического сигнала.</t>
        </is>
      </c>
      <c r="B1823" s="2" t="n"/>
      <c r="C1823" s="2" t="n"/>
      <c r="D1823" s="2" t="n"/>
      <c r="E1823" s="2" t="n"/>
      <c r="F1823" s="2" t="n"/>
      <c r="G1823" s="2" t="n"/>
    </row>
    <row r="1824" ht="51" customHeight="1">
      <c r="A1824"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8</t>
        </is>
      </c>
      <c r="B1824" s="4" t="n"/>
      <c r="C1824" s="4" t="n"/>
      <c r="D1824" s="4" t="n"/>
      <c r="E1824" s="4" t="n"/>
      <c r="F1824" s="4" t="n"/>
      <c r="G1824" s="4" t="n"/>
    </row>
    <row r="1825" ht="30" customHeight="1">
      <c r="A1825" s="3" t="inlineStr">
        <is>
          <t>В программе: Тема 3. Оптические сети и технологии xPON (2 часа лекции, 2 часа лабораторные занятия).</t>
        </is>
      </c>
      <c r="B1825" s="4" t="n"/>
      <c r="C1825" s="4" t="n"/>
      <c r="D1825" s="4" t="n"/>
      <c r="E1825" s="4" t="n"/>
      <c r="F1825" s="4" t="n"/>
      <c r="G1825" s="4" t="n"/>
    </row>
    <row r="1826" ht="25" customHeight="1">
      <c r="A1826" s="23" t="inlineStr">
        <is>
          <t>Исходная программа ОПКС ↗</t>
        </is>
      </c>
      <c r="D1826" s="23" t="inlineStr">
        <is>
          <t>Исходный УТП ОПКС ↗</t>
        </is>
      </c>
    </row>
    <row r="1827" ht="27" customHeight="1">
      <c r="A1827" s="24">
        <f>HYPERLINK("#'Выбор тем'!E"&amp;MATCH("T-44810CEF",'Выбор тем'!$A:$A,0),"← Вернуться к теме")</f>
        <v/>
      </c>
    </row>
    <row r="1829" ht="38" customHeight="1">
      <c r="A1829" s="18" t="inlineStr">
        <is>
          <t>Организационные меры по защите информации. Создание и поддержание инфраструктуры защиты информации в организации</t>
        </is>
      </c>
      <c r="B1829" s="19" t="n"/>
      <c r="C1829" s="19" t="n"/>
      <c r="D1829" s="19" t="n"/>
      <c r="E1829" s="19" t="n"/>
      <c r="F1829" s="19" t="n"/>
      <c r="G1829" s="19" t="n"/>
    </row>
    <row r="1830" ht="26" customHeight="1">
      <c r="A1830" s="3" t="inlineStr">
        <is>
          <t>T-D6E9DEFF · Программы: ККС</t>
        </is>
      </c>
      <c r="B1830" s="4" t="n"/>
      <c r="C1830" s="4" t="n"/>
      <c r="D1830" s="4" t="n"/>
      <c r="E1830" s="4" t="n"/>
      <c r="F1830" s="4" t="n"/>
      <c r="G1830" s="4" t="n"/>
    </row>
    <row r="1831" ht="27" customHeight="1">
      <c r="A1831" s="20" t="inlineStr">
        <is>
          <t>Вариант для: ККС</t>
        </is>
      </c>
      <c r="B1831" s="21" t="n"/>
      <c r="C1831" s="21" t="n"/>
      <c r="D1831" s="21" t="n"/>
      <c r="E1831" s="21" t="n"/>
      <c r="F1831" s="21" t="n"/>
      <c r="G1831" s="21" t="n"/>
    </row>
    <row r="1832" ht="32" customHeight="1">
      <c r="A1832" s="22" t="inlineStr">
        <is>
          <t>Концепция информационной безопасности организации.</t>
        </is>
      </c>
      <c r="B1832" s="2" t="n"/>
      <c r="C1832" s="2" t="n"/>
      <c r="D1832" s="2" t="n"/>
      <c r="E1832" s="2" t="n"/>
      <c r="F1832" s="2" t="n"/>
      <c r="G1832" s="2" t="n"/>
    </row>
    <row r="1833" ht="32" customHeight="1">
      <c r="A1833" s="22" t="inlineStr">
        <is>
          <t>Цели и задачи концепции. Структура концепции. Объекты защиты. Анализ киберугроз безопасности.</t>
        </is>
      </c>
      <c r="B1833" s="2" t="n"/>
      <c r="C1833" s="2" t="n"/>
      <c r="D1833" s="2" t="n"/>
      <c r="E1833" s="2" t="n"/>
      <c r="F1833" s="2" t="n"/>
      <c r="G1833" s="2" t="n"/>
    </row>
    <row r="1834" ht="32" customHeight="1">
      <c r="A1834" s="22" t="inlineStr">
        <is>
          <t>Состав и организационная структура системы обеспечения кибербезопасности.</t>
        </is>
      </c>
      <c r="B1834" s="2" t="n"/>
      <c r="C1834" s="2" t="n"/>
      <c r="D1834" s="2" t="n"/>
      <c r="E1834" s="2" t="n"/>
      <c r="F1834" s="2" t="n"/>
      <c r="G1834" s="2" t="n"/>
    </row>
    <row r="1835" ht="48" customHeight="1">
      <c r="A1835" s="22" t="inlineStr">
        <is>
          <t>Ответственные за кибербезопасность в подразделениях. Администраторы штатных и дополнительных средств защиты. Подразделения технической защиты информации. Положение о подразделении. Планы защиты объектов информационной инфраструктуры.</t>
        </is>
      </c>
      <c r="B1835" s="2" t="n"/>
      <c r="C1835" s="2" t="n"/>
      <c r="D1835" s="2" t="n"/>
      <c r="E1835" s="2" t="n"/>
      <c r="F1835" s="2" t="n"/>
      <c r="G1835" s="2" t="n"/>
    </row>
    <row r="1836" ht="32" customHeight="1">
      <c r="A1836" s="22" t="inlineStr">
        <is>
          <t>Вопросы круглого стола:</t>
        </is>
      </c>
      <c r="B1836" s="2" t="n"/>
      <c r="C1836" s="2" t="n"/>
      <c r="D1836" s="2" t="n"/>
      <c r="E1836" s="2" t="n"/>
      <c r="F1836" s="2" t="n"/>
      <c r="G1836" s="2" t="n"/>
    </row>
    <row r="1837" ht="32" customHeight="1">
      <c r="A1837" s="22" t="inlineStr">
        <is>
          <t>Концепция информационной безопасности.</t>
        </is>
      </c>
      <c r="B1837" s="2" t="n"/>
      <c r="C1837" s="2" t="n"/>
      <c r="D1837" s="2" t="n"/>
      <c r="E1837" s="2" t="n"/>
      <c r="F1837" s="2" t="n"/>
      <c r="G1837" s="2" t="n"/>
    </row>
    <row r="1838" ht="32" customHeight="1">
      <c r="A1838" s="22" t="inlineStr">
        <is>
          <t>Распределение функций и порядок взаимодействия подразделений на различных этапах жизненного цикла объектов информационной инфраструктуры.</t>
        </is>
      </c>
      <c r="B1838" s="2" t="n"/>
      <c r="C1838" s="2" t="n"/>
      <c r="D1838" s="2" t="n"/>
      <c r="E1838" s="2" t="n"/>
      <c r="F1838" s="2" t="n"/>
      <c r="G1838" s="2" t="n"/>
    </row>
    <row r="1839" ht="32" customHeight="1">
      <c r="A1839" s="22" t="inlineStr">
        <is>
          <t>Регламентация процессов и действий персонала.</t>
        </is>
      </c>
      <c r="B1839" s="2" t="n"/>
      <c r="C1839" s="2" t="n"/>
      <c r="D1839" s="2" t="n"/>
      <c r="E1839" s="2" t="n"/>
      <c r="F1839" s="2" t="n"/>
      <c r="G1839" s="2" t="n"/>
    </row>
    <row r="1840" ht="48" customHeight="1">
      <c r="A1840" s="22" t="inlineStr">
        <is>
          <t>Система локальных правовых и иных организационно-распорядительных документов организации по вопросам обеспечения кибербезопасности. Регламентация действий всех категорий сотрудников, допущенных к работе с объектами информационной инфраструктуры.</t>
        </is>
      </c>
      <c r="B1840" s="2" t="n"/>
      <c r="C1840" s="2" t="n"/>
      <c r="D1840" s="2" t="n"/>
      <c r="E1840" s="2" t="n"/>
      <c r="F1840" s="2" t="n"/>
      <c r="G1840" s="2" t="n"/>
    </row>
    <row r="1841" ht="32" customHeight="1">
      <c r="A1841" s="22" t="inlineStr">
        <is>
          <t>Определение требований к защищенности ресурсов.</t>
        </is>
      </c>
      <c r="B1841" s="2" t="n"/>
      <c r="C1841" s="2" t="n"/>
      <c r="D1841" s="2" t="n"/>
      <c r="E1841" s="2" t="n"/>
      <c r="F1841" s="2" t="n"/>
      <c r="G1841" s="2" t="n"/>
    </row>
    <row r="1842" ht="48" customHeight="1">
      <c r="A1842" s="22" t="inlineStr">
        <is>
          <t>Обследование объектов информационной инфраструктуры, инвентаризация и категорирование активов объекта информационной инфраструктуры. Положение о категорировании активов. Перечень активов, подлежащих защите.</t>
        </is>
      </c>
      <c r="B1842" s="2" t="n"/>
      <c r="C1842" s="2" t="n"/>
      <c r="D1842" s="2" t="n"/>
      <c r="E1842" s="2" t="n"/>
      <c r="F1842" s="2" t="n"/>
      <c r="G1842" s="2" t="n"/>
    </row>
    <row r="1843" ht="51" customHeight="1">
      <c r="A1843" s="3" t="inlineStr">
        <is>
          <t>ККС — Кибербезопасность корпоративных систем
Раздел: Правовые и организационные меры по обеспечению кибербезопасности · УТП: таблица 2, строка 10</t>
        </is>
      </c>
      <c r="B1843" s="4" t="n"/>
      <c r="C1843" s="4" t="n"/>
      <c r="D1843" s="4" t="n"/>
      <c r="E1843" s="4" t="n"/>
      <c r="F1843" s="4" t="n"/>
      <c r="G1843" s="4" t="n"/>
    </row>
    <row r="1844" ht="46" customHeight="1">
      <c r="A1844" s="3" t="inlineStr">
        <is>
          <t>В программе: Тема 1. Организационные меры по защите информации. Создание и поддержание инфраструктуры защиты информации в организации (6 часов лекции, 2 часа круглый стол).</t>
        </is>
      </c>
      <c r="B1844" s="4" t="n"/>
      <c r="C1844" s="4" t="n"/>
      <c r="D1844" s="4" t="n"/>
      <c r="E1844" s="4" t="n"/>
      <c r="F1844" s="4" t="n"/>
      <c r="G1844" s="4" t="n"/>
    </row>
    <row r="1845" ht="25" customHeight="1">
      <c r="A1845" s="23" t="inlineStr">
        <is>
          <t>Исходная программа ККС ↗</t>
        </is>
      </c>
      <c r="D1845" s="23" t="inlineStr">
        <is>
          <t>Исходный УТП ККС ↗</t>
        </is>
      </c>
    </row>
    <row r="1846" ht="27" customHeight="1">
      <c r="A1846" s="24">
        <f>HYPERLINK("#'Выбор тем'!E"&amp;MATCH("T-D6E9DEFF",'Выбор тем'!$A:$A,0),"← Вернуться к теме")</f>
        <v/>
      </c>
    </row>
    <row r="1848" ht="38" customHeight="1">
      <c r="A1848" s="18" t="inlineStr">
        <is>
          <t>Организация защиты информации в системах электронного документооборота</t>
        </is>
      </c>
      <c r="B1848" s="19" t="n"/>
      <c r="C1848" s="19" t="n"/>
      <c r="D1848" s="19" t="n"/>
      <c r="E1848" s="19" t="n"/>
      <c r="F1848" s="19" t="n"/>
      <c r="G1848" s="19" t="n"/>
    </row>
    <row r="1849" ht="26" customHeight="1">
      <c r="A1849" s="3" t="inlineStr">
        <is>
          <t>T-150BEB5A · Программы: АКБ, БКТ, ЗИКС</t>
        </is>
      </c>
      <c r="B1849" s="4" t="n"/>
      <c r="C1849" s="4" t="n"/>
      <c r="D1849" s="4" t="n"/>
      <c r="E1849" s="4" t="n"/>
      <c r="F1849" s="4" t="n"/>
      <c r="G1849" s="4" t="n"/>
    </row>
    <row r="1850" ht="27" customHeight="1">
      <c r="A1850" s="20" t="inlineStr">
        <is>
          <t>Вариант для: АКБ, БКТ</t>
        </is>
      </c>
      <c r="B1850" s="21" t="n"/>
      <c r="C1850" s="21" t="n"/>
      <c r="D1850" s="21" t="n"/>
      <c r="E1850" s="21" t="n"/>
      <c r="F1850" s="21" t="n"/>
      <c r="G1850" s="21" t="n"/>
    </row>
    <row r="1851" ht="80" customHeight="1">
      <c r="A1851" s="22" t="inlineStr">
        <is>
          <t>Назначение систем электронного документооборота (далее – СЭД). Электронный документ как основной объект СЭД. Задачи кибербезопасности для СЭД. Активы СЭД и методы их защиты. Разграничение доступа к электронным документам в СЭД. Применение электронной цифровой подписи для обеспечения возможности контроля целостности и подлинности электронных документов. Основные принципы электронной цифровой подписи. Законодательство в сфере электронного документа и электронной цифровой подписи.</t>
        </is>
      </c>
      <c r="B1851" s="2" t="n"/>
      <c r="C1851" s="2" t="n"/>
      <c r="D1851" s="2" t="n"/>
      <c r="E1851" s="2" t="n"/>
      <c r="F1851" s="2" t="n"/>
      <c r="G1851" s="2" t="n"/>
    </row>
    <row r="1852" ht="32" customHeight="1">
      <c r="A1852" s="22" t="inlineStr">
        <is>
          <t>Вопросы круглого стола:</t>
        </is>
      </c>
      <c r="B1852" s="2" t="n"/>
      <c r="C1852" s="2" t="n"/>
      <c r="D1852" s="2" t="n"/>
      <c r="E1852" s="2" t="n"/>
      <c r="F1852" s="2" t="n"/>
      <c r="G1852" s="2" t="n"/>
    </row>
    <row r="1853" ht="32" customHeight="1">
      <c r="A1853" s="22" t="inlineStr">
        <is>
          <t>Место СЭД в информационных системах.</t>
        </is>
      </c>
      <c r="B1853" s="2" t="n"/>
      <c r="C1853" s="2" t="n"/>
      <c r="D1853" s="2" t="n"/>
      <c r="E1853" s="2" t="n"/>
      <c r="F1853" s="2" t="n"/>
      <c r="G1853" s="2" t="n"/>
    </row>
    <row r="1854" ht="51" customHeight="1">
      <c r="A1854" s="3" t="inlineStr">
        <is>
          <t>АКБ — Администратор кибербезопасности
Раздел: Особенности криптографической защиты информации · УТП: таблица 2, строка 18</t>
        </is>
      </c>
      <c r="B1854" s="4" t="n"/>
      <c r="C1854" s="4" t="n"/>
      <c r="D1854" s="4" t="n"/>
      <c r="E1854" s="4" t="n"/>
      <c r="F1854" s="4" t="n"/>
      <c r="G1854" s="4" t="n"/>
    </row>
    <row r="1855" ht="30" customHeight="1">
      <c r="A1855" s="3" t="inlineStr">
        <is>
          <t>В программе: Тема 2. Организация защиты информации в системах электронного документооборота (3 часа лекции, 1 час круглый стол).</t>
        </is>
      </c>
      <c r="B1855" s="4" t="n"/>
      <c r="C1855" s="4" t="n"/>
      <c r="D1855" s="4" t="n"/>
      <c r="E1855" s="4" t="n"/>
      <c r="F1855" s="4" t="n"/>
      <c r="G1855" s="4" t="n"/>
    </row>
    <row r="1856" ht="25" customHeight="1">
      <c r="A1856" s="23" t="inlineStr">
        <is>
          <t>Исходная программа АКБ ↗</t>
        </is>
      </c>
      <c r="D1856" s="23" t="inlineStr">
        <is>
          <t>Исходный УТП АКБ ↗</t>
        </is>
      </c>
    </row>
    <row r="1857" ht="51" customHeight="1">
      <c r="A1857" s="3" t="inlineStr">
        <is>
          <t>БКТ — Безопасность компьютерных технологий
Раздел: Особенности криптографической защиты информации · УТП: таблица 2, строка 26</t>
        </is>
      </c>
      <c r="B1857" s="4" t="n"/>
      <c r="C1857" s="4" t="n"/>
      <c r="D1857" s="4" t="n"/>
      <c r="E1857" s="4" t="n"/>
      <c r="F1857" s="4" t="n"/>
      <c r="G1857" s="4" t="n"/>
    </row>
    <row r="1858" ht="30" customHeight="1">
      <c r="A1858" s="3" t="inlineStr">
        <is>
          <t>В программе: Тема 2. Организация защиты информации в системах электронного документооборота (3 часа лекции, 1 час круглый стол).</t>
        </is>
      </c>
      <c r="B1858" s="4" t="n"/>
      <c r="C1858" s="4" t="n"/>
      <c r="D1858" s="4" t="n"/>
      <c r="E1858" s="4" t="n"/>
      <c r="F1858" s="4" t="n"/>
      <c r="G1858" s="4" t="n"/>
    </row>
    <row r="1859" ht="25" customHeight="1">
      <c r="A1859" s="23" t="inlineStr">
        <is>
          <t>Исходная программа БКТ ↗</t>
        </is>
      </c>
      <c r="D1859" s="23" t="inlineStr">
        <is>
          <t>Исходный УТП БКТ ↗</t>
        </is>
      </c>
    </row>
    <row r="1860" ht="27" customHeight="1">
      <c r="A1860" s="20" t="inlineStr">
        <is>
          <t>Вариант для: ЗИКС</t>
        </is>
      </c>
      <c r="B1860" s="21" t="n"/>
      <c r="C1860" s="21" t="n"/>
      <c r="D1860" s="21" t="n"/>
      <c r="E1860" s="21" t="n"/>
      <c r="F1860" s="21" t="n"/>
      <c r="G1860" s="21" t="n"/>
    </row>
    <row r="1861" ht="80" customHeight="1">
      <c r="A1861" s="22" t="inlineStr">
        <is>
          <t>Назначение систем электронного документооборота (далее – СЭД). Место СЭД в информационных системах. Электронный документ, как основной объект СЭД. Задачи криптографической защиты информации для СЭД. Активы СЭД и методы их защиты. Разграничение доступа к электронным документам в СЭД. Применение электронной цифровой подписи для обеспечения возможности контроля целостности и подлинности электронных документов. Основные принципы электронной цифровой подписи. Законодательство в сфере электронного документа и электронной цифровой подписи.</t>
        </is>
      </c>
      <c r="B1861" s="2" t="n"/>
      <c r="C1861" s="2" t="n"/>
      <c r="D1861" s="2" t="n"/>
      <c r="E1861" s="2" t="n"/>
      <c r="F1861" s="2" t="n"/>
      <c r="G1861" s="2" t="n"/>
    </row>
    <row r="1862" ht="51" customHeight="1">
      <c r="A1862" s="3" t="inlineStr">
        <is>
          <t>ЗИКС — Защита информации в корпоративных системах
Раздел: Особенности криптографической защиты информации, обрабатываемой в информационных системах. · УТП: таблица 2, строка 21</t>
        </is>
      </c>
      <c r="B1862" s="4" t="n"/>
      <c r="C1862" s="4" t="n"/>
      <c r="D1862" s="4" t="n"/>
      <c r="E1862" s="4" t="n"/>
      <c r="F1862" s="4" t="n"/>
      <c r="G1862" s="4" t="n"/>
    </row>
    <row r="1863" ht="30" customHeight="1">
      <c r="A1863" s="3" t="inlineStr">
        <is>
          <t>В программе: Тема 2. Организация защиты информации в системах электронного документооборота (3 часа лекции, 1 час круглый стол).</t>
        </is>
      </c>
      <c r="B1863" s="4" t="n"/>
      <c r="C1863" s="4" t="n"/>
      <c r="D1863" s="4" t="n"/>
      <c r="E1863" s="4" t="n"/>
      <c r="F1863" s="4" t="n"/>
      <c r="G1863" s="4" t="n"/>
    </row>
    <row r="1864" ht="25" customHeight="1">
      <c r="A1864" s="23" t="inlineStr">
        <is>
          <t>Исходная программа ЗИКС ↗</t>
        </is>
      </c>
      <c r="D1864" s="23" t="inlineStr">
        <is>
          <t>Исходный УТП ЗИКС ↗</t>
        </is>
      </c>
    </row>
    <row r="1865" ht="27" customHeight="1">
      <c r="A1865" s="24">
        <f>HYPERLINK("#'Выбор тем'!E"&amp;MATCH("T-150BEB5A",'Выбор тем'!$A:$A,0),"← Вернуться к теме")</f>
        <v/>
      </c>
    </row>
    <row r="1867" ht="38" customHeight="1">
      <c r="A1867" s="18" t="inlineStr">
        <is>
          <t>Основные алгоритмы машинного обучения</t>
        </is>
      </c>
      <c r="B1867" s="19" t="n"/>
      <c r="C1867" s="19" t="n"/>
      <c r="D1867" s="19" t="n"/>
      <c r="E1867" s="19" t="n"/>
      <c r="F1867" s="19" t="n"/>
      <c r="G1867" s="19" t="n"/>
    </row>
    <row r="1868" ht="26" customHeight="1">
      <c r="A1868" s="3" t="inlineStr">
        <is>
          <t>T-D12351DD · Программы: ПТИИМ</t>
        </is>
      </c>
      <c r="B1868" s="4" t="n"/>
      <c r="C1868" s="4" t="n"/>
      <c r="D1868" s="4" t="n"/>
      <c r="E1868" s="4" t="n"/>
      <c r="F1868" s="4" t="n"/>
      <c r="G1868" s="4" t="n"/>
    </row>
    <row r="1869" ht="27" customHeight="1">
      <c r="A1869" s="20" t="inlineStr">
        <is>
          <t>Вариант для: ПТИИМ</t>
        </is>
      </c>
      <c r="B1869" s="21" t="n"/>
      <c r="C1869" s="21" t="n"/>
      <c r="D1869" s="21" t="n"/>
      <c r="E1869" s="21" t="n"/>
      <c r="F1869" s="21" t="n"/>
      <c r="G1869" s="21" t="n"/>
    </row>
    <row r="1870" ht="48" customHeight="1">
      <c r="A1870" s="22" t="inlineStr">
        <is>
          <t>Основные подходы к машинному обучению: обучение с учителем и обучение без учителя. Особенности подготовки данных и получения результатов при использовании каждого подхода.</t>
        </is>
      </c>
      <c r="B1870" s="2" t="n"/>
      <c r="C1870" s="2" t="n"/>
      <c r="D1870" s="2" t="n"/>
      <c r="E1870" s="2" t="n"/>
      <c r="F1870" s="2" t="n"/>
      <c r="G1870" s="2" t="n"/>
    </row>
    <row r="1871" ht="32" customHeight="1">
      <c r="A1871" s="22" t="inlineStr">
        <is>
          <t>Линейная регрессия как метод прогнозирования количественных показателей. Логистическая регрессия как метод решения задач классификации.</t>
        </is>
      </c>
      <c r="B1871" s="2" t="n"/>
      <c r="C1871" s="2" t="n"/>
      <c r="D1871" s="2" t="n"/>
      <c r="E1871" s="2" t="n"/>
      <c r="F1871" s="2" t="n"/>
      <c r="G1871" s="2" t="n"/>
    </row>
    <row r="1872" ht="32" customHeight="1">
      <c r="A1872" s="22" t="inlineStr">
        <is>
          <t>Деревья решений: принципы построения, интерпретация результатов, преимущества и ограничения. Ансамблевые методы машинного обучения.</t>
        </is>
      </c>
      <c r="B1872" s="2" t="n"/>
      <c r="C1872" s="2" t="n"/>
      <c r="D1872" s="2" t="n"/>
      <c r="E1872" s="2" t="n"/>
      <c r="F1872" s="2" t="n"/>
      <c r="G1872" s="2" t="n"/>
    </row>
    <row r="1873" ht="48" customHeight="1">
      <c r="A1873" s="22" t="inlineStr">
        <is>
          <t>Алгоритмы случайного леса (Random Forest) и градиентного бустинга, особенности объединения нескольких моделей для повышения точности и устойчивости прогнозирования.</t>
        </is>
      </c>
      <c r="B1873" s="2" t="n"/>
      <c r="C1873" s="2" t="n"/>
      <c r="D1873" s="2" t="n"/>
      <c r="E1873" s="2" t="n"/>
      <c r="F1873" s="2" t="n"/>
      <c r="G1873" s="2" t="n"/>
    </row>
    <row r="1874" ht="32" customHeight="1">
      <c r="A1874" s="22" t="inlineStr">
        <is>
          <t>Метод опорных векторов (SVM) и метод k ближайших соседей (kNN): принципы работы и области применения.</t>
        </is>
      </c>
      <c r="B1874" s="2" t="n"/>
      <c r="C1874" s="2" t="n"/>
      <c r="D1874" s="2" t="n"/>
      <c r="E1874" s="2" t="n"/>
      <c r="F1874" s="2" t="n"/>
      <c r="G1874" s="2" t="n"/>
    </row>
    <row r="1875" ht="48" customHeight="1">
      <c r="A1875" s="22" t="inlineStr">
        <is>
          <t>Алгоритмы обучения без учителя. Кластеризация данных с использованием методов k-средних и DBSCAN. Выявление групп объектов и обнаружение нетипичных наблюдений.</t>
        </is>
      </c>
      <c r="B1875" s="2" t="n"/>
      <c r="C1875" s="2" t="n"/>
      <c r="D1875" s="2" t="n"/>
      <c r="E1875" s="2" t="n"/>
      <c r="F1875" s="2" t="n"/>
      <c r="G1875" s="2" t="n"/>
    </row>
    <row r="1876" ht="48" customHeight="1">
      <c r="A1876" s="22" t="inlineStr">
        <is>
          <t>Основы нейронных сетей. Понятие перцептрона, базовые архитектуры нейронных сетей и особенности их обучения. Области применения нейросетевых моделей.</t>
        </is>
      </c>
      <c r="B1876" s="2" t="n"/>
      <c r="C1876" s="2" t="n"/>
      <c r="D1876" s="2" t="n"/>
      <c r="E1876" s="2" t="n"/>
      <c r="F1876" s="2" t="n"/>
      <c r="G1876" s="2" t="n"/>
    </row>
    <row r="1877" ht="51" customHeight="1">
      <c r="A1877" s="3" t="inlineStr">
        <is>
          <t>ПТИИМ — Применение технологий искусственного интеллекта и машинного обучения в информационной и кибербезопасности
Раздел: Алгоритмы, оценка и объяснимость · УТП: таблица 2, строка 11</t>
        </is>
      </c>
      <c r="B1877" s="4" t="n"/>
      <c r="C1877" s="4" t="n"/>
      <c r="D1877" s="4" t="n"/>
      <c r="E1877" s="4" t="n"/>
      <c r="F1877" s="4" t="n"/>
      <c r="G1877" s="4" t="n"/>
    </row>
    <row r="1878" ht="30" customHeight="1">
      <c r="A1878" s="3" t="inlineStr">
        <is>
          <t>В программе: Тема 1. Основные алгоритмы машинного обучения (4 часа лекции).</t>
        </is>
      </c>
      <c r="B1878" s="4" t="n"/>
      <c r="C1878" s="4" t="n"/>
      <c r="D1878" s="4" t="n"/>
      <c r="E1878" s="4" t="n"/>
      <c r="F1878" s="4" t="n"/>
      <c r="G1878" s="4" t="n"/>
    </row>
    <row r="1879" ht="25" customHeight="1">
      <c r="A1879" s="23" t="inlineStr">
        <is>
          <t>Исходная программа ПТИИМ ↗</t>
        </is>
      </c>
      <c r="D1879" s="23" t="inlineStr">
        <is>
          <t>Исходный УТП ПТИИМ ↗</t>
        </is>
      </c>
    </row>
    <row r="1880" ht="27" customHeight="1">
      <c r="A1880" s="24">
        <f>HYPERLINK("#'Выбор тем'!E"&amp;MATCH("T-D12351DD",'Выбор тем'!$A:$A,0),"← Вернуться к теме")</f>
        <v/>
      </c>
    </row>
    <row r="1882" ht="38" customHeight="1">
      <c r="A1882" s="18" t="inlineStr">
        <is>
          <t>Основные аспекты безопасности эксплуатации средств криптографической защиты информации</t>
        </is>
      </c>
      <c r="B1882" s="19" t="n"/>
      <c r="C1882" s="19" t="n"/>
      <c r="D1882" s="19" t="n"/>
      <c r="E1882" s="19" t="n"/>
      <c r="F1882" s="19" t="n"/>
      <c r="G1882" s="19" t="n"/>
    </row>
    <row r="1883" ht="26" customHeight="1">
      <c r="A1883" s="3" t="inlineStr">
        <is>
          <t>T-E99406B0 · Программы: КЗИ</t>
        </is>
      </c>
      <c r="B1883" s="4" t="n"/>
      <c r="C1883" s="4" t="n"/>
      <c r="D1883" s="4" t="n"/>
      <c r="E1883" s="4" t="n"/>
      <c r="F1883" s="4" t="n"/>
      <c r="G1883" s="4" t="n"/>
    </row>
    <row r="1884" ht="27" customHeight="1">
      <c r="A1884" s="20" t="inlineStr">
        <is>
          <t>Вариант для: КЗИ</t>
        </is>
      </c>
      <c r="B1884" s="21" t="n"/>
      <c r="C1884" s="21" t="n"/>
      <c r="D1884" s="21" t="n"/>
      <c r="E1884" s="21" t="n"/>
      <c r="F1884" s="21" t="n"/>
      <c r="G1884" s="21" t="n"/>
    </row>
    <row r="1885" ht="96" customHeight="1">
      <c r="A1885" s="22" t="inlineStr">
        <is>
          <t>Классификация средств криптографической защиты информации по типу, назначению, уровням безопасности и реализуемым функциям безопасности. Криптографическая граница. Управление доступом (доверенный канал). Самотестирование. Понятия информации и энтропии. Основные подходы к вычислению энтропии. Критерии оценки качества генераторов псевдослучайных чисел. Управление криптографическими ключами (генерация, распределение, диверсификация, хранение, согласование, разделение секретов, уничтожение ключей). Требования по идентификации и аутентификации, настройке среды эксплуатации. Организационные меры.</t>
        </is>
      </c>
      <c r="B1885" s="2" t="n"/>
      <c r="C1885" s="2" t="n"/>
      <c r="D1885" s="2" t="n"/>
      <c r="E1885" s="2" t="n"/>
      <c r="F1885" s="2" t="n"/>
      <c r="G1885" s="2" t="n"/>
    </row>
    <row r="1886" ht="51" customHeight="1">
      <c r="A1886" s="3" t="inlineStr">
        <is>
          <t>КЗИ — Криптографическая защита информации
Раздел: Средства криптографической защиты информации · УТП: таблица 2, строка 15</t>
        </is>
      </c>
      <c r="B1886" s="4" t="n"/>
      <c r="C1886" s="4" t="n"/>
      <c r="D1886" s="4" t="n"/>
      <c r="E1886" s="4" t="n"/>
      <c r="F1886" s="4" t="n"/>
      <c r="G1886" s="4" t="n"/>
    </row>
    <row r="1887" ht="30" customHeight="1">
      <c r="A1887" s="3" t="inlineStr">
        <is>
          <t>В программе: Тема 3. Основные аспекты безопасности эксплуатации средств криптографической защиты информации (4 часа лекции).</t>
        </is>
      </c>
      <c r="B1887" s="4" t="n"/>
      <c r="C1887" s="4" t="n"/>
      <c r="D1887" s="4" t="n"/>
      <c r="E1887" s="4" t="n"/>
      <c r="F1887" s="4" t="n"/>
      <c r="G1887" s="4" t="n"/>
    </row>
    <row r="1888" ht="25" customHeight="1">
      <c r="A1888" s="23" t="inlineStr">
        <is>
          <t>Исходная программа КЗИ ↗</t>
        </is>
      </c>
      <c r="D1888" s="23" t="inlineStr">
        <is>
          <t>Исходный УТП КЗИ ↗</t>
        </is>
      </c>
    </row>
    <row r="1889" ht="27" customHeight="1">
      <c r="A1889" s="24">
        <f>HYPERLINK("#'Выбор тем'!E"&amp;MATCH("T-E99406B0",'Выбор тем'!$A:$A,0),"← Вернуться к теме")</f>
        <v/>
      </c>
    </row>
    <row r="1891" ht="38" customHeight="1">
      <c r="A1891" s="18" t="inlineStr">
        <is>
          <t>Основные источники TI (open source, коммерческие, государственные). Стандарты обмена TI: STIX, TAXII</t>
        </is>
      </c>
      <c r="B1891" s="19" t="n"/>
      <c r="C1891" s="19" t="n"/>
      <c r="D1891" s="19" t="n"/>
      <c r="E1891" s="19" t="n"/>
      <c r="F1891" s="19" t="n"/>
      <c r="G1891" s="19" t="n"/>
    </row>
    <row r="1892" ht="26" customHeight="1">
      <c r="A1892" s="3" t="inlineStr">
        <is>
          <t>T-8D67A184 · Программы: РКИОК</t>
        </is>
      </c>
      <c r="B1892" s="4" t="n"/>
      <c r="C1892" s="4" t="n"/>
      <c r="D1892" s="4" t="n"/>
      <c r="E1892" s="4" t="n"/>
      <c r="F1892" s="4" t="n"/>
      <c r="G1892" s="4" t="n"/>
    </row>
    <row r="1893" ht="27" customHeight="1">
      <c r="A1893" s="20" t="inlineStr">
        <is>
          <t>Вариант для: РКИОК</t>
        </is>
      </c>
      <c r="B1893" s="21" t="n"/>
      <c r="C1893" s="21" t="n"/>
      <c r="D1893" s="21" t="n"/>
      <c r="E1893" s="21" t="n"/>
      <c r="F1893" s="21" t="n"/>
      <c r="G1893" s="21" t="n"/>
    </row>
    <row r="1894" ht="64" customHeight="1">
      <c r="A1894" s="22" t="inlineStr">
        <is>
          <t>Классификация источников: открытые базы, коммерческие сервисы, CERT. Плюсы и минусы каждого вида, критерии выбора. Необходимость комбинировать данные из разных источников. STIX: формат описания структурированных данных о киберугрозах. TAXII: протокол передачи данных TI между системами. Преимущества стандартизации для совместимости и автоматизации.</t>
        </is>
      </c>
      <c r="B1894" s="2" t="n"/>
      <c r="C1894" s="2" t="n"/>
      <c r="D1894" s="2" t="n"/>
      <c r="E1894" s="2" t="n"/>
      <c r="F1894" s="2" t="n"/>
      <c r="G1894" s="2" t="n"/>
    </row>
    <row r="1895" ht="51" customHeight="1">
      <c r="A1895" s="3" t="inlineStr">
        <is>
          <t>РКИОК — Реагирование на киберинциденты и отражение кибератак
Раздел: Введение в SOAR и TI · УТП: таблица 2, строка 40</t>
        </is>
      </c>
      <c r="B1895" s="4" t="n"/>
      <c r="C1895" s="4" t="n"/>
      <c r="D1895" s="4" t="n"/>
      <c r="E1895" s="4" t="n"/>
      <c r="F1895" s="4" t="n"/>
      <c r="G1895" s="4" t="n"/>
    </row>
    <row r="1896" ht="30" customHeight="1">
      <c r="A1896" s="3" t="inlineStr">
        <is>
          <t>В программе: Тема 7. Основные источники TI (open source, коммерческие, государственные). Стандарты обмена TI: STIX, TAXII (1 час лекции).</t>
        </is>
      </c>
      <c r="B1896" s="4" t="n"/>
      <c r="C1896" s="4" t="n"/>
      <c r="D1896" s="4" t="n"/>
      <c r="E1896" s="4" t="n"/>
      <c r="F1896" s="4" t="n"/>
      <c r="G1896" s="4" t="n"/>
    </row>
    <row r="1897" ht="25" customHeight="1">
      <c r="A1897" s="23" t="inlineStr">
        <is>
          <t>Исходная программа РКИОК ↗</t>
        </is>
      </c>
      <c r="D1897" s="23" t="inlineStr">
        <is>
          <t>Исходный УТП РКИОК ↗</t>
        </is>
      </c>
    </row>
    <row r="1898" ht="27" customHeight="1">
      <c r="A1898" s="24">
        <f>HYPERLINK("#'Выбор тем'!E"&amp;MATCH("T-8D67A184",'Выбор тем'!$A:$A,0),"← Вернуться к теме")</f>
        <v/>
      </c>
    </row>
    <row r="1900" ht="38" customHeight="1">
      <c r="A1900" s="18" t="inlineStr">
        <is>
          <t>Основные перспективные направления развития криптографии в Республике Беларусь</t>
        </is>
      </c>
      <c r="B1900" s="19" t="n"/>
      <c r="C1900" s="19" t="n"/>
      <c r="D1900" s="19" t="n"/>
      <c r="E1900" s="19" t="n"/>
      <c r="F1900" s="19" t="n"/>
      <c r="G1900" s="19" t="n"/>
    </row>
    <row r="1901" ht="26" customHeight="1">
      <c r="A1901" s="3" t="inlineStr">
        <is>
          <t>T-1D3B4F15 · Программы: КЗИ</t>
        </is>
      </c>
      <c r="B1901" s="4" t="n"/>
      <c r="C1901" s="4" t="n"/>
      <c r="D1901" s="4" t="n"/>
      <c r="E1901" s="4" t="n"/>
      <c r="F1901" s="4" t="n"/>
      <c r="G1901" s="4" t="n"/>
    </row>
    <row r="1902" ht="27" customHeight="1">
      <c r="A1902" s="20" t="inlineStr">
        <is>
          <t>Вариант для: КЗИ</t>
        </is>
      </c>
      <c r="B1902" s="21" t="n"/>
      <c r="C1902" s="21" t="n"/>
      <c r="D1902" s="21" t="n"/>
      <c r="E1902" s="21" t="n"/>
      <c r="F1902" s="21" t="n"/>
      <c r="G1902" s="21" t="n"/>
    </row>
    <row r="1903" ht="32" customHeight="1">
      <c r="A1903" s="22" t="inlineStr">
        <is>
          <t>Постквантовая криптография. Технология блокчейн.</t>
        </is>
      </c>
      <c r="B1903" s="2" t="n"/>
      <c r="C1903" s="2" t="n"/>
      <c r="D1903" s="2" t="n"/>
      <c r="E1903" s="2" t="n"/>
      <c r="F1903" s="2" t="n"/>
      <c r="G1903" s="2" t="n"/>
    </row>
    <row r="1904" ht="48" customHeight="1">
      <c r="A1904" s="22" t="inlineStr">
        <is>
          <t>Технология электронной цифровой подписи. Новые виды электронной цифровой подписи (пороговые подписи, подписи с «нулевым» разглашением, анонимные подписи). Технологии «облачной» электронной цифровой подписи.</t>
        </is>
      </c>
      <c r="B1904" s="2" t="n"/>
      <c r="C1904" s="2" t="n"/>
      <c r="D1904" s="2" t="n"/>
      <c r="E1904" s="2" t="n"/>
      <c r="F1904" s="2" t="n"/>
      <c r="G1904" s="2" t="n"/>
    </row>
    <row r="1905" ht="32" customHeight="1">
      <c r="A1905" s="22" t="inlineStr">
        <is>
          <t>Единая система идентификации и аутентификации физических и юридических лиц.</t>
        </is>
      </c>
      <c r="B1905" s="2" t="n"/>
      <c r="C1905" s="2" t="n"/>
      <c r="D1905" s="2" t="n"/>
      <c r="E1905" s="2" t="n"/>
      <c r="F1905" s="2" t="n"/>
      <c r="G1905" s="2" t="n"/>
    </row>
    <row r="1906" ht="51" customHeight="1">
      <c r="A1906" s="3" t="inlineStr">
        <is>
          <t>КЗИ — Криптографическая защита информации
Раздел: Средства криптографической защиты информации · УТП: таблица 2, строка 14</t>
        </is>
      </c>
      <c r="B1906" s="4" t="n"/>
      <c r="C1906" s="4" t="n"/>
      <c r="D1906" s="4" t="n"/>
      <c r="E1906" s="4" t="n"/>
      <c r="F1906" s="4" t="n"/>
      <c r="G1906" s="4" t="n"/>
    </row>
    <row r="1907" ht="30" customHeight="1">
      <c r="A1907" s="3" t="inlineStr">
        <is>
          <t>В программе: Тема 2. Основные перспективные направления развития криптографии в Республике Беларусь (2 часа лекции).</t>
        </is>
      </c>
      <c r="B1907" s="4" t="n"/>
      <c r="C1907" s="4" t="n"/>
      <c r="D1907" s="4" t="n"/>
      <c r="E1907" s="4" t="n"/>
      <c r="F1907" s="4" t="n"/>
      <c r="G1907" s="4" t="n"/>
    </row>
    <row r="1908" ht="25" customHeight="1">
      <c r="A1908" s="23" t="inlineStr">
        <is>
          <t>Исходная программа КЗИ ↗</t>
        </is>
      </c>
      <c r="D1908" s="23" t="inlineStr">
        <is>
          <t>Исходный УТП КЗИ ↗</t>
        </is>
      </c>
    </row>
    <row r="1909" ht="27" customHeight="1">
      <c r="A1909" s="24">
        <f>HYPERLINK("#'Выбор тем'!E"&amp;MATCH("T-1D3B4F15",'Выбор тем'!$A:$A,0),"← Вернуться к теме")</f>
        <v/>
      </c>
    </row>
    <row r="1911" ht="38" customHeight="1">
      <c r="A1911" s="18" t="inlineStr">
        <is>
          <t>Основные принципы и инструменты выявления, анализа действий нарушителя и работы вредоносного программного обеспечения</t>
        </is>
      </c>
      <c r="B1911" s="19" t="n"/>
      <c r="C1911" s="19" t="n"/>
      <c r="D1911" s="19" t="n"/>
      <c r="E1911" s="19" t="n"/>
      <c r="F1911" s="19" t="n"/>
      <c r="G1911" s="19" t="n"/>
    </row>
    <row r="1912" ht="26" customHeight="1">
      <c r="A1912" s="3" t="inlineStr">
        <is>
          <t>T-9D7A9E2E · Программы: ОКБО</t>
        </is>
      </c>
      <c r="B1912" s="4" t="n"/>
      <c r="C1912" s="4" t="n"/>
      <c r="D1912" s="4" t="n"/>
      <c r="E1912" s="4" t="n"/>
      <c r="F1912" s="4" t="n"/>
      <c r="G1912" s="4" t="n"/>
    </row>
    <row r="1913" ht="27" customHeight="1">
      <c r="A1913" s="20" t="inlineStr">
        <is>
          <t>Вариант для: ОКБО</t>
        </is>
      </c>
      <c r="B1913" s="21" t="n"/>
      <c r="C1913" s="21" t="n"/>
      <c r="D1913" s="21" t="n"/>
      <c r="E1913" s="21" t="n"/>
      <c r="F1913" s="21" t="n"/>
      <c r="G1913" s="21" t="n"/>
    </row>
    <row r="1914" ht="32" customHeight="1">
      <c r="A1914" s="22" t="inlineStr">
        <is>
          <t>Работа со средами для анализа вредоносного ПО. Обзор инструментов, методы и подходы.</t>
        </is>
      </c>
      <c r="B1914" s="2" t="n"/>
      <c r="C1914" s="2" t="n"/>
      <c r="D1914" s="2" t="n"/>
      <c r="E1914" s="2" t="n"/>
      <c r="F1914" s="2" t="n"/>
      <c r="G1914" s="2" t="n"/>
    </row>
    <row r="1915" ht="32" customHeight="1">
      <c r="A1915" s="22" t="inlineStr">
        <is>
          <t>Обзор, подборка и развертывание специализированного ПО для проведения анализа вредоносного ПО. Базовый динамический анализ.</t>
        </is>
      </c>
      <c r="B1915" s="2" t="n"/>
      <c r="C1915" s="2" t="n"/>
      <c r="D1915" s="2" t="n"/>
      <c r="E1915" s="2" t="n"/>
      <c r="F1915" s="2" t="n"/>
      <c r="G1915" s="2" t="n"/>
    </row>
    <row r="1916" ht="32" customHeight="1">
      <c r="A1916" s="22" t="inlineStr">
        <is>
          <t>Выявление признаков работы вредоносного ПО, классификация и идентификация.</t>
        </is>
      </c>
      <c r="B1916" s="2" t="n"/>
      <c r="C1916" s="2" t="n"/>
      <c r="D1916" s="2" t="n"/>
      <c r="E1916" s="2" t="n"/>
      <c r="F1916" s="2" t="n"/>
      <c r="G1916" s="2" t="n"/>
    </row>
    <row r="1917" ht="32" customHeight="1">
      <c r="A1917" s="22" t="inlineStr">
        <is>
          <t>Описание действий потенциального нарушителя по методологии соответствующих тактик и техник MITRE ATT&amp;CK.</t>
        </is>
      </c>
      <c r="B1917" s="2" t="n"/>
      <c r="C1917" s="2" t="n"/>
      <c r="D1917" s="2" t="n"/>
      <c r="E1917" s="2" t="n"/>
      <c r="F1917" s="2" t="n"/>
      <c r="G1917" s="2" t="n"/>
    </row>
    <row r="1918" ht="32" customHeight="1">
      <c r="A1918" s="22" t="inlineStr">
        <is>
          <t>Подготовка типового отчета о вредоносном ПО.</t>
        </is>
      </c>
      <c r="B1918" s="2" t="n"/>
      <c r="C1918" s="2" t="n"/>
      <c r="D1918" s="2" t="n"/>
      <c r="E1918" s="2" t="n"/>
      <c r="F1918" s="2" t="n"/>
      <c r="G1918" s="2" t="n"/>
    </row>
    <row r="1919" ht="51" customHeight="1">
      <c r="A1919"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21</t>
        </is>
      </c>
      <c r="B1919" s="4" t="n"/>
      <c r="C1919" s="4" t="n"/>
      <c r="D1919" s="4" t="n"/>
      <c r="E1919" s="4" t="n"/>
      <c r="F1919" s="4" t="n"/>
      <c r="G1919" s="4" t="n"/>
    </row>
    <row r="1920" ht="46" customHeight="1">
      <c r="A1920" s="3" t="inlineStr">
        <is>
          <t>В программе: Тема 2. Основные принципы и инструменты выявления, анализа действий нарушителя и работы вредоносного программного обеспечения (1 час лекции, 3 часа практические занятия).</t>
        </is>
      </c>
      <c r="B1920" s="4" t="n"/>
      <c r="C1920" s="4" t="n"/>
      <c r="D1920" s="4" t="n"/>
      <c r="E1920" s="4" t="n"/>
      <c r="F1920" s="4" t="n"/>
      <c r="G1920" s="4" t="n"/>
    </row>
    <row r="1921" ht="25" customHeight="1">
      <c r="A1921" s="23" t="inlineStr">
        <is>
          <t>Исходная программа ОКБО ↗</t>
        </is>
      </c>
      <c r="D1921" s="23" t="inlineStr">
        <is>
          <t>Исходный УТП ОКБО ↗</t>
        </is>
      </c>
    </row>
    <row r="1922" ht="27" customHeight="1">
      <c r="A1922" s="24">
        <f>HYPERLINK("#'Выбор тем'!E"&amp;MATCH("T-9D7A9E2E",'Выбор тем'!$A:$A,0),"← Вернуться к теме")</f>
        <v/>
      </c>
    </row>
    <row r="1924" ht="38" customHeight="1">
      <c r="A1924" s="18" t="inlineStr">
        <is>
          <t>Основные субъекты, участвующие в процессах управления цифровой трансформацией государственного управления</t>
        </is>
      </c>
      <c r="B1924" s="19" t="n"/>
      <c r="C1924" s="19" t="n"/>
      <c r="D1924" s="19" t="n"/>
      <c r="E1924" s="19" t="n"/>
      <c r="F1924" s="19" t="n"/>
      <c r="G1924" s="19" t="n"/>
    </row>
    <row r="1925" ht="26" customHeight="1">
      <c r="A1925" s="3" t="inlineStr">
        <is>
          <t>T-6FF1CBA0 · Программы: ЦТГУ</t>
        </is>
      </c>
      <c r="B1925" s="4" t="n"/>
      <c r="C1925" s="4" t="n"/>
      <c r="D1925" s="4" t="n"/>
      <c r="E1925" s="4" t="n"/>
      <c r="F1925" s="4" t="n"/>
      <c r="G1925" s="4" t="n"/>
    </row>
    <row r="1926" ht="27" customHeight="1">
      <c r="A1926" s="20" t="inlineStr">
        <is>
          <t>Вариант для: ЦТГУ</t>
        </is>
      </c>
      <c r="B1926" s="21" t="n"/>
      <c r="C1926" s="21" t="n"/>
      <c r="D1926" s="21" t="n"/>
      <c r="E1926" s="21" t="n"/>
      <c r="F1926" s="21" t="n"/>
      <c r="G1926" s="21" t="n"/>
    </row>
    <row r="1927" ht="64" customHeight="1">
      <c r="A1927" s="22" t="inlineStr">
        <is>
          <t>Основные задачи, функции и права республиканского унитарного предприятия «Центр цифрового развития» (далее – Центр) в сфере цифровой трансформации государственного управления, в том числе как головной организации по реализации мероприятий в сфере цифрового развития. Взаимодействие Центра с государственными органами и иными лицами, в том числе офисами цифровизации, по вопросам цифровой трансформации государственного управления.</t>
        </is>
      </c>
      <c r="B1927" s="2" t="n"/>
      <c r="C1927" s="2" t="n"/>
      <c r="D1927" s="2" t="n"/>
      <c r="E1927" s="2" t="n"/>
      <c r="F1927" s="2" t="n"/>
      <c r="G1927" s="2" t="n"/>
    </row>
    <row r="1928" ht="64" customHeight="1">
      <c r="A1928" s="22" t="inlineStr">
        <is>
          <t>Основные задачи, функции и права Центра перспективных исследований открытого акционерного общества «Гипросвязь» в сфере цифровой трансформации государственного управления, его взаимодействие с государственными органами и иными лицами по вопросам цифровой трансформации государственного управления.</t>
        </is>
      </c>
      <c r="B1928" s="2" t="n"/>
      <c r="C1928" s="2" t="n"/>
      <c r="D1928" s="2" t="n"/>
      <c r="E1928" s="2" t="n"/>
      <c r="F1928" s="2" t="n"/>
      <c r="G1928" s="2" t="n"/>
    </row>
    <row r="1929" ht="48" customHeight="1">
      <c r="A1929" s="22" t="inlineStr">
        <is>
          <t>Перечень офисов цифровизации. Основные задачи, функции и права офисов цифровизации в сфере цифрового развития. Взаимодействие офисов цифровизации с государственными органами и иными лицами по вопросам цифровой трансформации государственного управления.</t>
        </is>
      </c>
      <c r="B1929" s="2" t="n"/>
      <c r="C1929" s="2" t="n"/>
      <c r="D1929" s="2" t="n"/>
      <c r="E1929" s="2" t="n"/>
      <c r="F1929" s="2" t="n"/>
      <c r="G1929" s="2" t="n"/>
    </row>
    <row r="1930" ht="51" customHeight="1">
      <c r="A1930"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21</t>
        </is>
      </c>
      <c r="B1930" s="4" t="n"/>
      <c r="C1930" s="4" t="n"/>
      <c r="D1930" s="4" t="n"/>
      <c r="E1930" s="4" t="n"/>
      <c r="F1930" s="4" t="n"/>
      <c r="G1930" s="4" t="n"/>
    </row>
    <row r="1931" ht="30" customHeight="1">
      <c r="A1931" s="3" t="inlineStr">
        <is>
          <t>В программе: Тема 2. Основные субъекты, участвующие в процессах управления цифровой трансформацией государственного управления (2 часа лекции).</t>
        </is>
      </c>
      <c r="B1931" s="4" t="n"/>
      <c r="C1931" s="4" t="n"/>
      <c r="D1931" s="4" t="n"/>
      <c r="E1931" s="4" t="n"/>
      <c r="F1931" s="4" t="n"/>
      <c r="G1931" s="4" t="n"/>
    </row>
    <row r="1932" ht="25" customHeight="1">
      <c r="A1932" s="23" t="inlineStr">
        <is>
          <t>Исходная программа ЦТГУ ↗</t>
        </is>
      </c>
      <c r="D1932" s="23" t="inlineStr">
        <is>
          <t>Исходный УТП ЦТГУ ↗</t>
        </is>
      </c>
    </row>
    <row r="1933" ht="27" customHeight="1">
      <c r="A1933" s="24">
        <f>HYPERLINK("#'Выбор тем'!E"&amp;MATCH("T-6FF1CBA0",'Выбор тем'!$A:$A,0),"← Вернуться к теме")</f>
        <v/>
      </c>
    </row>
    <row r="1935" ht="38" customHeight="1">
      <c r="A1935" s="18" t="inlineStr">
        <is>
          <t>Основные функции: оркестрация, автоматизация, реагирование</t>
        </is>
      </c>
      <c r="B1935" s="19" t="n"/>
      <c r="C1935" s="19" t="n"/>
      <c r="D1935" s="19" t="n"/>
      <c r="E1935" s="19" t="n"/>
      <c r="F1935" s="19" t="n"/>
      <c r="G1935" s="19" t="n"/>
    </row>
    <row r="1936" ht="26" customHeight="1">
      <c r="A1936" s="3" t="inlineStr">
        <is>
          <t>T-A0BAE9BD · Программы: РКИОК</t>
        </is>
      </c>
      <c r="B1936" s="4" t="n"/>
      <c r="C1936" s="4" t="n"/>
      <c r="D1936" s="4" t="n"/>
      <c r="E1936" s="4" t="n"/>
      <c r="F1936" s="4" t="n"/>
      <c r="G1936" s="4" t="n"/>
    </row>
    <row r="1937" ht="27" customHeight="1">
      <c r="A1937" s="20" t="inlineStr">
        <is>
          <t>Вариант для: РКИОК</t>
        </is>
      </c>
      <c r="B1937" s="21" t="n"/>
      <c r="C1937" s="21" t="n"/>
      <c r="D1937" s="21" t="n"/>
      <c r="E1937" s="21" t="n"/>
      <c r="F1937" s="21" t="n"/>
      <c r="G1937" s="21" t="n"/>
    </row>
    <row r="1938" ht="48" customHeight="1">
      <c r="A1938" s="22" t="inlineStr">
        <is>
          <t>Оркестрация: координация работы нескольких систем безопасности. Автоматизация: выполнение рутинных задач без участия человека. Реагирование: запуск конкретных действий в ответ на инцидент.</t>
        </is>
      </c>
      <c r="B1938" s="2" t="n"/>
      <c r="C1938" s="2" t="n"/>
      <c r="D1938" s="2" t="n"/>
      <c r="E1938" s="2" t="n"/>
      <c r="F1938" s="2" t="n"/>
      <c r="G1938" s="2" t="n"/>
    </row>
    <row r="1939" ht="51" customHeight="1">
      <c r="A1939" s="3" t="inlineStr">
        <is>
          <t>РКИОК — Реагирование на киберинциденты и отражение кибератак
Раздел: Введение в SOAR и TI · УТП: таблица 2, строка 35</t>
        </is>
      </c>
      <c r="B1939" s="4" t="n"/>
      <c r="C1939" s="4" t="n"/>
      <c r="D1939" s="4" t="n"/>
      <c r="E1939" s="4" t="n"/>
      <c r="F1939" s="4" t="n"/>
      <c r="G1939" s="4" t="n"/>
    </row>
    <row r="1940" ht="30" customHeight="1">
      <c r="A1940" s="3" t="inlineStr">
        <is>
          <t>В программе: Тема 2. Основные функции: оркестрация, автоматизация, реагирование (1 час лекции).</t>
        </is>
      </c>
      <c r="B1940" s="4" t="n"/>
      <c r="C1940" s="4" t="n"/>
      <c r="D1940" s="4" t="n"/>
      <c r="E1940" s="4" t="n"/>
      <c r="F1940" s="4" t="n"/>
      <c r="G1940" s="4" t="n"/>
    </row>
    <row r="1941" ht="25" customHeight="1">
      <c r="A1941" s="23" t="inlineStr">
        <is>
          <t>Исходная программа РКИОК ↗</t>
        </is>
      </c>
      <c r="D1941" s="23" t="inlineStr">
        <is>
          <t>Исходный УТП РКИОК ↗</t>
        </is>
      </c>
    </row>
    <row r="1942" ht="27" customHeight="1">
      <c r="A1942" s="24">
        <f>HYPERLINK("#'Выбор тем'!E"&amp;MATCH("T-A0BAE9BD",'Выбор тем'!$A:$A,0),"← Вернуться к теме")</f>
        <v/>
      </c>
    </row>
    <row r="1944" ht="38" customHeight="1">
      <c r="A1944" s="18" t="inlineStr">
        <is>
          <t>Основы защиты персональных данных. Законодательство о персональных данных</t>
        </is>
      </c>
      <c r="B1944" s="19" t="n"/>
      <c r="C1944" s="19" t="n"/>
      <c r="D1944" s="19" t="n"/>
      <c r="E1944" s="19" t="n"/>
      <c r="F1944" s="19" t="n"/>
      <c r="G1944" s="19" t="n"/>
    </row>
    <row r="1945" ht="26" customHeight="1">
      <c r="A1945" s="3" t="inlineStr">
        <is>
          <t>T-104C2C72 · Программы: КО</t>
        </is>
      </c>
      <c r="B1945" s="4" t="n"/>
      <c r="C1945" s="4" t="n"/>
      <c r="D1945" s="4" t="n"/>
      <c r="E1945" s="4" t="n"/>
      <c r="F1945" s="4" t="n"/>
      <c r="G1945" s="4" t="n"/>
    </row>
    <row r="1946" ht="27" customHeight="1">
      <c r="A1946" s="20" t="inlineStr">
        <is>
          <t>Вариант для: КО</t>
        </is>
      </c>
      <c r="B1946" s="21" t="n"/>
      <c r="C1946" s="21" t="n"/>
      <c r="D1946" s="21" t="n"/>
      <c r="E1946" s="21" t="n"/>
      <c r="F1946" s="21" t="n"/>
      <c r="G1946" s="21" t="n"/>
    </row>
    <row r="1947" ht="32" customHeight="1">
      <c r="A1947" s="22" t="inlineStr">
        <is>
          <t>История развития и проблемы защиты персональных данных.</t>
        </is>
      </c>
      <c r="B1947" s="2" t="n"/>
      <c r="C1947" s="2" t="n"/>
      <c r="D1947" s="2" t="n"/>
      <c r="E1947" s="2" t="n"/>
      <c r="F1947" s="2" t="n"/>
      <c r="G1947" s="2" t="n"/>
    </row>
    <row r="1948" ht="48" customHeight="1">
      <c r="A1948" s="22" t="inlineStr">
        <is>
          <t>Принципы и порядок работы с персональными данными. Виды персональных данных. Правовые основания обработки персональных данных. Обязательные меры по защите персональных данных. Уполномоченный орган по защите прав субъектов персональных данных.</t>
        </is>
      </c>
      <c r="B1948" s="2" t="n"/>
      <c r="C1948" s="2" t="n"/>
      <c r="D1948" s="2" t="n"/>
      <c r="E1948" s="2" t="n"/>
      <c r="F1948" s="2" t="n"/>
      <c r="G1948" s="2" t="n"/>
    </row>
    <row r="1949" ht="51" customHeight="1">
      <c r="A1949" s="3" t="inlineStr">
        <is>
          <t>КО — Кибербезопасность государственных и иных организаций
Раздел: Основы защиты персональных данных. Законодательство о персональных данных. · УТП: таблица 2, строка 9</t>
        </is>
      </c>
      <c r="B1949" s="4" t="n"/>
      <c r="C1949" s="4" t="n"/>
      <c r="D1949" s="4" t="n"/>
      <c r="E1949" s="4" t="n"/>
      <c r="F1949" s="4" t="n"/>
      <c r="G1949" s="4" t="n"/>
    </row>
    <row r="1950" ht="30" customHeight="1">
      <c r="A1950" s="3" t="inlineStr">
        <is>
          <t>В программе: Тема 1. Основы защиты персональных данных. Законодательство 
о персональных данных (2 часа лекции).</t>
        </is>
      </c>
      <c r="B1950" s="4" t="n"/>
      <c r="C1950" s="4" t="n"/>
      <c r="D1950" s="4" t="n"/>
      <c r="E1950" s="4" t="n"/>
      <c r="F1950" s="4" t="n"/>
      <c r="G1950" s="4" t="n"/>
    </row>
    <row r="1951" ht="25" customHeight="1">
      <c r="A1951" s="23" t="inlineStr">
        <is>
          <t>Исходная программа КО ↗</t>
        </is>
      </c>
      <c r="D1951" s="23" t="inlineStr">
        <is>
          <t>Исходный УТП КО ↗</t>
        </is>
      </c>
    </row>
    <row r="1952" ht="27" customHeight="1">
      <c r="A1952" s="24">
        <f>HYPERLINK("#'Выбор тем'!E"&amp;MATCH("T-104C2C72",'Выбор тем'!$A:$A,0),"← Вернуться к теме")</f>
        <v/>
      </c>
    </row>
    <row r="1954" ht="38" customHeight="1">
      <c r="A1954" s="18" t="inlineStr">
        <is>
          <t>Основы информационной безопасности: понятие, цели, принципы. CIA-модель: конфиденциальность, целостность, доступность</t>
        </is>
      </c>
      <c r="B1954" s="19" t="n"/>
      <c r="C1954" s="19" t="n"/>
      <c r="D1954" s="19" t="n"/>
      <c r="E1954" s="19" t="n"/>
      <c r="F1954" s="19" t="n"/>
      <c r="G1954" s="19" t="n"/>
    </row>
    <row r="1955" ht="26" customHeight="1">
      <c r="A1955" s="3" t="inlineStr">
        <is>
          <t>T-F16DF157 · Программы: ОКБО</t>
        </is>
      </c>
      <c r="B1955" s="4" t="n"/>
      <c r="C1955" s="4" t="n"/>
      <c r="D1955" s="4" t="n"/>
      <c r="E1955" s="4" t="n"/>
      <c r="F1955" s="4" t="n"/>
      <c r="G1955" s="4" t="n"/>
    </row>
    <row r="1956" ht="27" customHeight="1">
      <c r="A1956" s="20" t="inlineStr">
        <is>
          <t>Вариант для: ОКБО</t>
        </is>
      </c>
      <c r="B1956" s="21" t="n"/>
      <c r="C1956" s="21" t="n"/>
      <c r="D1956" s="21" t="n"/>
      <c r="E1956" s="21" t="n"/>
      <c r="F1956" s="21" t="n"/>
      <c r="G1956" s="21" t="n"/>
    </row>
    <row r="1957" ht="80" customHeight="1">
      <c r="A1957" s="22" t="inlineStr">
        <is>
          <t>Понятие информационной безопасности, цели и задачи. Принципы построения: законность, неопределённость, невозможность идеальной защиты, минимальный риск и минимальный ущерб, системность, комплексность, непрерывность, ограничение полномочий, ответственность, достаточность. Реализации CIA (Confidentiality, Integrity, Availability): шифрование, контроль доступа, контроль версий, хеширование и резервирование, горячее/холодное восстановление, балансировка нагрузки. Требования соответствия стандартам и нормативам как обязательный компонент архитектуры безопасности.</t>
        </is>
      </c>
      <c r="B1957" s="2" t="n"/>
      <c r="C1957" s="2" t="n"/>
      <c r="D1957" s="2" t="n"/>
      <c r="E1957" s="2" t="n"/>
      <c r="F1957" s="2" t="n"/>
      <c r="G1957" s="2" t="n"/>
    </row>
    <row r="1958" ht="51" customHeight="1">
      <c r="A1958" s="3" t="inlineStr">
        <is>
          <t>ОКБО — Обеспечение кибербезопасности организаций
Раздел: Введение в кибербезопасность · УТП: таблица 2, строка 10</t>
        </is>
      </c>
      <c r="B1958" s="4" t="n"/>
      <c r="C1958" s="4" t="n"/>
      <c r="D1958" s="4" t="n"/>
      <c r="E1958" s="4" t="n"/>
      <c r="F1958" s="4" t="n"/>
      <c r="G1958" s="4" t="n"/>
    </row>
    <row r="1959" ht="30" customHeight="1">
      <c r="A1959" s="3" t="inlineStr">
        <is>
          <t>В программе: Тема 1. Основы информационной безопасности: понятие, цели, принципы. CIA-модель: конфиденциальность, целостность, доступность (3 часа лекции).</t>
        </is>
      </c>
      <c r="B1959" s="4" t="n"/>
      <c r="C1959" s="4" t="n"/>
      <c r="D1959" s="4" t="n"/>
      <c r="E1959" s="4" t="n"/>
      <c r="F1959" s="4" t="n"/>
      <c r="G1959" s="4" t="n"/>
    </row>
    <row r="1960" ht="25" customHeight="1">
      <c r="A1960" s="23" t="inlineStr">
        <is>
          <t>Исходная программа ОКБО ↗</t>
        </is>
      </c>
      <c r="D1960" s="23" t="inlineStr">
        <is>
          <t>Исходный УТП ОКБО ↗</t>
        </is>
      </c>
    </row>
    <row r="1961" ht="27" customHeight="1">
      <c r="A1961" s="24">
        <f>HYPERLINK("#'Выбор тем'!E"&amp;MATCH("T-F16DF157",'Выбор тем'!$A:$A,0),"← Вернуться к теме")</f>
        <v/>
      </c>
    </row>
    <row r="1963" ht="38" customHeight="1">
      <c r="A1963" s="18" t="inlineStr">
        <is>
          <t>Основы политик информационной безопасности и системы управления информационной безопасности</t>
        </is>
      </c>
      <c r="B1963" s="19" t="n"/>
      <c r="C1963" s="19" t="n"/>
      <c r="D1963" s="19" t="n"/>
      <c r="E1963" s="19" t="n"/>
      <c r="F1963" s="19" t="n"/>
      <c r="G1963" s="19" t="n"/>
    </row>
    <row r="1964" ht="26" customHeight="1">
      <c r="A1964" s="3" t="inlineStr">
        <is>
          <t>T-16947C9D · Программы: РКИОК</t>
        </is>
      </c>
      <c r="B1964" s="4" t="n"/>
      <c r="C1964" s="4" t="n"/>
      <c r="D1964" s="4" t="n"/>
      <c r="E1964" s="4" t="n"/>
      <c r="F1964" s="4" t="n"/>
      <c r="G1964" s="4" t="n"/>
    </row>
    <row r="1965" ht="27" customHeight="1">
      <c r="A1965" s="20" t="inlineStr">
        <is>
          <t>Вариант для: РКИОК</t>
        </is>
      </c>
      <c r="B1965" s="21" t="n"/>
      <c r="C1965" s="21" t="n"/>
      <c r="D1965" s="21" t="n"/>
      <c r="E1965" s="21" t="n"/>
      <c r="F1965" s="21" t="n"/>
      <c r="G1965" s="21" t="n"/>
    </row>
    <row r="1966" ht="48" customHeight="1">
      <c r="A1966" s="22" t="inlineStr">
        <is>
          <t>Назначение и структура политики информационной безопасности. Роли и ответственность в системе управления информационной безопасностью, процессы контроля. Непрерывное совершенствование: аудит, корректирующие действия.</t>
        </is>
      </c>
      <c r="B1966" s="2" t="n"/>
      <c r="C1966" s="2" t="n"/>
      <c r="D1966" s="2" t="n"/>
      <c r="E1966" s="2" t="n"/>
      <c r="F1966" s="2" t="n"/>
      <c r="G1966" s="2" t="n"/>
    </row>
    <row r="1967" ht="51" customHeight="1">
      <c r="A1967" s="3" t="inlineStr">
        <is>
          <t>РКИОК — Реагирование на киберинциденты и отражение кибератак
Раздел: Управление информационной безопасностью · УТП: таблица 2, строка 12</t>
        </is>
      </c>
      <c r="B1967" s="4" t="n"/>
      <c r="C1967" s="4" t="n"/>
      <c r="D1967" s="4" t="n"/>
      <c r="E1967" s="4" t="n"/>
      <c r="F1967" s="4" t="n"/>
      <c r="G1967" s="4" t="n"/>
    </row>
    <row r="1968" ht="30" customHeight="1">
      <c r="A1968" s="3" t="inlineStr">
        <is>
          <t>В программе: Тема 2. Основы политик информационной безопасности и системы управления информационной безопасности (1 час лекции).</t>
        </is>
      </c>
      <c r="B1968" s="4" t="n"/>
      <c r="C1968" s="4" t="n"/>
      <c r="D1968" s="4" t="n"/>
      <c r="E1968" s="4" t="n"/>
      <c r="F1968" s="4" t="n"/>
      <c r="G1968" s="4" t="n"/>
    </row>
    <row r="1969" ht="25" customHeight="1">
      <c r="A1969" s="23" t="inlineStr">
        <is>
          <t>Исходная программа РКИОК ↗</t>
        </is>
      </c>
      <c r="D1969" s="23" t="inlineStr">
        <is>
          <t>Исходный УТП РКИОК ↗</t>
        </is>
      </c>
    </row>
    <row r="1970" ht="27" customHeight="1">
      <c r="A1970" s="24">
        <f>HYPERLINK("#'Выбор тем'!E"&amp;MATCH("T-16947C9D",'Выбор тем'!$A:$A,0),"← Вернуться к теме")</f>
        <v/>
      </c>
    </row>
    <row r="1972" ht="38" customHeight="1">
      <c r="A1972" s="18" t="inlineStr">
        <is>
          <t>Особенности подтверждения соответствия средств защиты информации в Национальной системе подтверждения соответствия</t>
        </is>
      </c>
      <c r="B1972" s="19" t="n"/>
      <c r="C1972" s="19" t="n"/>
      <c r="D1972" s="19" t="n"/>
      <c r="E1972" s="19" t="n"/>
      <c r="F1972" s="19" t="n"/>
      <c r="G1972" s="19" t="n"/>
    </row>
    <row r="1973" ht="26" customHeight="1">
      <c r="A1973" s="3" t="inlineStr">
        <is>
          <t>T-BE30B5FB · Программы: БКТ</t>
        </is>
      </c>
      <c r="B1973" s="4" t="n"/>
      <c r="C1973" s="4" t="n"/>
      <c r="D1973" s="4" t="n"/>
      <c r="E1973" s="4" t="n"/>
      <c r="F1973" s="4" t="n"/>
      <c r="G1973" s="4" t="n"/>
    </row>
    <row r="1974" ht="27" customHeight="1">
      <c r="A1974" s="20" t="inlineStr">
        <is>
          <t>Вариант для: БКТ</t>
        </is>
      </c>
      <c r="B1974" s="21" t="n"/>
      <c r="C1974" s="21" t="n"/>
      <c r="D1974" s="21" t="n"/>
      <c r="E1974" s="21" t="n"/>
      <c r="F1974" s="21" t="n"/>
      <c r="G1974" s="21" t="n"/>
    </row>
    <row r="1975" ht="64" customHeight="1">
      <c r="A1975" s="22" t="inlineStr">
        <is>
          <t>Общие вопросы технического нормирования и стандартизации. Национальная система подтверждения соответствия. Правила выпуска в обращение средств защиты информации. Требования. Обеспечение соответствия требованиям. Подтверждение соответствия требованиям: сертификация, декларирование. Маркировка знаком соответствия. Перечень взаимосвязанных стандартов.</t>
        </is>
      </c>
      <c r="B1975" s="2" t="n"/>
      <c r="C1975" s="2" t="n"/>
      <c r="D1975" s="2" t="n"/>
      <c r="E1975" s="2" t="n"/>
      <c r="F1975" s="2" t="n"/>
      <c r="G1975" s="2" t="n"/>
    </row>
    <row r="1976" ht="32" customHeight="1">
      <c r="A1976" s="22" t="inlineStr">
        <is>
          <t>Вопросы круглого стола:</t>
        </is>
      </c>
      <c r="B1976" s="2" t="n"/>
      <c r="C1976" s="2" t="n"/>
      <c r="D1976" s="2" t="n"/>
      <c r="E1976" s="2" t="n"/>
      <c r="F1976" s="2" t="n"/>
      <c r="G1976" s="2" t="n"/>
    </row>
    <row r="1977" ht="32" customHeight="1">
      <c r="A1977" s="22" t="inlineStr">
        <is>
          <t>Ответственность за нарушение требований технического регламента.</t>
        </is>
      </c>
      <c r="B1977" s="2" t="n"/>
      <c r="C1977" s="2" t="n"/>
      <c r="D1977" s="2" t="n"/>
      <c r="E1977" s="2" t="n"/>
      <c r="F1977" s="2" t="n"/>
      <c r="G1977" s="2" t="n"/>
    </row>
    <row r="1978" ht="32" customHeight="1">
      <c r="A1978" s="22" t="inlineStr">
        <is>
          <t>Защита прав потребителей.</t>
        </is>
      </c>
      <c r="B1978" s="2" t="n"/>
      <c r="C1978" s="2" t="n"/>
      <c r="D1978" s="2" t="n"/>
      <c r="E1978" s="2" t="n"/>
      <c r="F1978" s="2" t="n"/>
      <c r="G1978" s="2" t="n"/>
    </row>
    <row r="1979" ht="51" customHeight="1">
      <c r="A1979" s="3" t="inlineStr">
        <is>
          <t>БКТ — Безопасность компьютерных технологий
Раздел: Подтверждение соответствия средств защиты информации · УТП: таблица 2, строка 9</t>
        </is>
      </c>
      <c r="B1979" s="4" t="n"/>
      <c r="C1979" s="4" t="n"/>
      <c r="D1979" s="4" t="n"/>
      <c r="E1979" s="4" t="n"/>
      <c r="F1979" s="4" t="n"/>
      <c r="G1979" s="4" t="n"/>
    </row>
    <row r="1980" ht="46" customHeight="1">
      <c r="A1980" s="3" t="inlineStr">
        <is>
          <t>В программе: Тема 1. Особенности подтверждения соответствия средств защиты информации в Национальной системе подтверждения соответствия (3 часа лекции, 1 час круглый стол).</t>
        </is>
      </c>
      <c r="B1980" s="4" t="n"/>
      <c r="C1980" s="4" t="n"/>
      <c r="D1980" s="4" t="n"/>
      <c r="E1980" s="4" t="n"/>
      <c r="F1980" s="4" t="n"/>
      <c r="G1980" s="4" t="n"/>
    </row>
    <row r="1981" ht="25" customHeight="1">
      <c r="A1981" s="23" t="inlineStr">
        <is>
          <t>Исходная программа БКТ ↗</t>
        </is>
      </c>
      <c r="D1981" s="23" t="inlineStr">
        <is>
          <t>Исходный УТП БКТ ↗</t>
        </is>
      </c>
    </row>
    <row r="1982" ht="27" customHeight="1">
      <c r="A1982" s="24">
        <f>HYPERLINK("#'Выбор тем'!E"&amp;MATCH("T-BE30B5FB",'Выбор тем'!$A:$A,0),"← Вернуться к теме")</f>
        <v/>
      </c>
    </row>
    <row r="1984" ht="38" customHeight="1">
      <c r="A1984" s="18" t="inlineStr">
        <is>
          <t>Особенности эксплуатации системы защиты информации организации</t>
        </is>
      </c>
      <c r="B1984" s="19" t="n"/>
      <c r="C1984" s="19" t="n"/>
      <c r="D1984" s="19" t="n"/>
      <c r="E1984" s="19" t="n"/>
      <c r="F1984" s="19" t="n"/>
      <c r="G1984" s="19" t="n"/>
    </row>
    <row r="1985" ht="26" customHeight="1">
      <c r="A1985" s="3" t="inlineStr">
        <is>
          <t>T-DBE83A65 · Программы: ПСАЭ</t>
        </is>
      </c>
      <c r="B1985" s="4" t="n"/>
      <c r="C1985" s="4" t="n"/>
      <c r="D1985" s="4" t="n"/>
      <c r="E1985" s="4" t="n"/>
      <c r="F1985" s="4" t="n"/>
      <c r="G1985" s="4" t="n"/>
    </row>
    <row r="1986" ht="27" customHeight="1">
      <c r="A1986" s="20" t="inlineStr">
        <is>
          <t>Вариант для: ПСАЭ</t>
        </is>
      </c>
      <c r="B1986" s="21" t="n"/>
      <c r="C1986" s="21" t="n"/>
      <c r="D1986" s="21" t="n"/>
      <c r="E1986" s="21" t="n"/>
      <c r="F1986" s="21" t="n"/>
      <c r="G1986" s="21" t="n"/>
    </row>
    <row r="1987" ht="64" customHeight="1">
      <c r="A1987" s="22" t="inlineStr">
        <is>
          <t>Контроль за соблюдением требований, установленных в нормативных правовых актах, документации на систему защиты информации собственника (владельца) информационной системы. Контроль за порядком использования объектов информационной системы; мониторинг функционирования системы защиты информации; выявление угроз (анализ журналов аудита), которые могут привести к сбоям, нарушению функционирования информационной системы.</t>
        </is>
      </c>
      <c r="B1987" s="2" t="n"/>
      <c r="C1987" s="2" t="n"/>
      <c r="D1987" s="2" t="n"/>
      <c r="E1987" s="2" t="n"/>
      <c r="F1987" s="2" t="n"/>
      <c r="G1987" s="2" t="n"/>
    </row>
    <row r="1988" ht="64" customHeight="1">
      <c r="A1988" s="22" t="inlineStr">
        <is>
          <t>Резервное копирование информации, содержащейся в информационной системе. Обучение (повышение квалификации) пользователей информационной системы. Наладочные работы и сервисное обслуживание объектов информационной системы. Модернизация действующих систем защиты информации и вывод из эксплуатации информационных систем.</t>
        </is>
      </c>
      <c r="B1988" s="2" t="n"/>
      <c r="C1988" s="2" t="n"/>
      <c r="D1988" s="2" t="n"/>
      <c r="E1988" s="2" t="n"/>
      <c r="F1988" s="2" t="n"/>
      <c r="G1988" s="2" t="n"/>
    </row>
    <row r="1989" ht="51" customHeight="1">
      <c r="A1989" s="3" t="inlineStr">
        <is>
          <t>ПСАЭ — Проектирование, создание, аттестация и эксплуатация систем защиты информации
Раздел: Особенности эксплуатации системы защиты информации организации · УТП: таблица 2, строка 34</t>
        </is>
      </c>
      <c r="B1989" s="4" t="n"/>
      <c r="C1989" s="4" t="n"/>
      <c r="D1989" s="4" t="n"/>
      <c r="E1989" s="4" t="n"/>
      <c r="F1989" s="4" t="n"/>
      <c r="G1989" s="4" t="n"/>
    </row>
    <row r="1990" ht="30" customHeight="1">
      <c r="A1990" s="3" t="inlineStr">
        <is>
          <t>В программе: Тема 1. Особенности эксплуатации системы защиты информации организации (4 часа лекции).</t>
        </is>
      </c>
      <c r="B1990" s="4" t="n"/>
      <c r="C1990" s="4" t="n"/>
      <c r="D1990" s="4" t="n"/>
      <c r="E1990" s="4" t="n"/>
      <c r="F1990" s="4" t="n"/>
      <c r="G1990" s="4" t="n"/>
    </row>
    <row r="1991" ht="25" customHeight="1">
      <c r="A1991" s="23" t="inlineStr">
        <is>
          <t>Исходная программа ПСАЭ ↗</t>
        </is>
      </c>
      <c r="D1991" s="23" t="inlineStr">
        <is>
          <t>Исходный УТП ПСАЭ ↗</t>
        </is>
      </c>
    </row>
    <row r="1992" ht="27" customHeight="1">
      <c r="A1992" s="24">
        <f>HYPERLINK("#'Выбор тем'!E"&amp;MATCH("T-DBE83A65",'Выбор тем'!$A:$A,0),"← Вернуться к теме")</f>
        <v/>
      </c>
    </row>
    <row r="1994" ht="38" customHeight="1">
      <c r="A1994" s="18" t="inlineStr">
        <is>
          <t>Офисы цифровизации: функции, роли, взаимодействие</t>
        </is>
      </c>
      <c r="B1994" s="19" t="n"/>
      <c r="C1994" s="19" t="n"/>
      <c r="D1994" s="19" t="n"/>
      <c r="E1994" s="19" t="n"/>
      <c r="F1994" s="19" t="n"/>
      <c r="G1994" s="19" t="n"/>
    </row>
    <row r="1995" ht="26" customHeight="1">
      <c r="A1995" s="3" t="inlineStr">
        <is>
          <t>T-70E46FD9 · Программы: ЦТГУ</t>
        </is>
      </c>
      <c r="B1995" s="4" t="n"/>
      <c r="C1995" s="4" t="n"/>
      <c r="D1995" s="4" t="n"/>
      <c r="E1995" s="4" t="n"/>
      <c r="F1995" s="4" t="n"/>
      <c r="G1995" s="4" t="n"/>
    </row>
    <row r="1996" ht="27" customHeight="1">
      <c r="A1996" s="20" t="inlineStr">
        <is>
          <t>Вариант для: ЦТГУ</t>
        </is>
      </c>
      <c r="B1996" s="21" t="n"/>
      <c r="C1996" s="21" t="n"/>
      <c r="D1996" s="21" t="n"/>
      <c r="E1996" s="21" t="n"/>
      <c r="F1996" s="21" t="n"/>
      <c r="G1996" s="21" t="n"/>
    </row>
    <row r="1997" ht="48" customHeight="1">
      <c r="A1997" s="22" t="inlineStr">
        <is>
          <t>Задачи офисов цифровизации. Распределение ролей (заказчик, владелец процесса, владелец данных, ИТ, безопасность). Организация работы, координация и отчётность.</t>
        </is>
      </c>
      <c r="B1997" s="2" t="n"/>
      <c r="C1997" s="2" t="n"/>
      <c r="D1997" s="2" t="n"/>
      <c r="E1997" s="2" t="n"/>
      <c r="F1997" s="2" t="n"/>
      <c r="G1997" s="2" t="n"/>
    </row>
    <row r="1998" ht="51" customHeight="1">
      <c r="A1998"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20</t>
        </is>
      </c>
      <c r="B1998" s="4" t="n"/>
      <c r="C1998" s="4" t="n"/>
      <c r="D1998" s="4" t="n"/>
      <c r="E1998" s="4" t="n"/>
      <c r="F1998" s="4" t="n"/>
      <c r="G1998" s="4" t="n"/>
    </row>
    <row r="1999" ht="30" customHeight="1">
      <c r="A1999" s="3" t="inlineStr">
        <is>
          <t>В программе: Тема 3. Офисы цифровизации: функции, роли, взаимодействие (2 часа лекции).</t>
        </is>
      </c>
      <c r="B1999" s="4" t="n"/>
      <c r="C1999" s="4" t="n"/>
      <c r="D1999" s="4" t="n"/>
      <c r="E1999" s="4" t="n"/>
      <c r="F1999" s="4" t="n"/>
      <c r="G1999" s="4" t="n"/>
    </row>
    <row r="2000" ht="25" customHeight="1">
      <c r="A2000" s="23" t="inlineStr">
        <is>
          <t>Исходная программа ЦТГУ ↗</t>
        </is>
      </c>
      <c r="D2000" s="23" t="inlineStr">
        <is>
          <t>Исходный УТП ЦТГУ ↗</t>
        </is>
      </c>
    </row>
    <row r="2001" ht="27" customHeight="1">
      <c r="A2001" s="24">
        <f>HYPERLINK("#'Выбор тем'!E"&amp;MATCH("T-70E46FD9",'Выбор тем'!$A:$A,0),"← Вернуться к теме")</f>
        <v/>
      </c>
    </row>
    <row r="2003" ht="67" customHeight="1">
      <c r="A2003" s="18" t="inlineStr">
        <is>
          <t>Оценка эффективности защищенности. Оценка степени зрелости компании, оценка правильности назначения ответственных лиц на предприятии и выстроенных бизнес-процессов. Аудит информационной безопасности и ее составляющие. Тесты на проникновение</t>
        </is>
      </c>
      <c r="B2003" s="19" t="n"/>
      <c r="C2003" s="19" t="n"/>
      <c r="D2003" s="19" t="n"/>
      <c r="E2003" s="19" t="n"/>
      <c r="F2003" s="19" t="n"/>
      <c r="G2003" s="19" t="n"/>
    </row>
    <row r="2004" ht="26" customHeight="1">
      <c r="A2004" s="3" t="inlineStr">
        <is>
          <t>T-9CDE7CD7 · Программы: ОКБО</t>
        </is>
      </c>
      <c r="B2004" s="4" t="n"/>
      <c r="C2004" s="4" t="n"/>
      <c r="D2004" s="4" t="n"/>
      <c r="E2004" s="4" t="n"/>
      <c r="F2004" s="4" t="n"/>
      <c r="G2004" s="4" t="n"/>
    </row>
    <row r="2005" ht="27" customHeight="1">
      <c r="A2005" s="20" t="inlineStr">
        <is>
          <t>Вариант для: ОКБО</t>
        </is>
      </c>
      <c r="B2005" s="21" t="n"/>
      <c r="C2005" s="21" t="n"/>
      <c r="D2005" s="21" t="n"/>
      <c r="E2005" s="21" t="n"/>
      <c r="F2005" s="21" t="n"/>
      <c r="G2005" s="21" t="n"/>
    </row>
    <row r="2006" ht="31" customHeight="1">
      <c r="A2006" s="25" t="inlineStr">
        <is>
          <t>Тема есть в УТП, но отдельное описание не найдено и в обновлённой программе ОКБО.</t>
        </is>
      </c>
      <c r="B2006" s="26" t="n"/>
      <c r="C2006" s="26" t="n"/>
      <c r="D2006" s="26" t="n"/>
      <c r="E2006" s="26" t="n"/>
      <c r="F2006" s="26" t="n"/>
      <c r="G2006" s="26" t="n"/>
    </row>
    <row r="2007" ht="48" customHeight="1">
      <c r="A2007" s="22"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2007" s="2" t="n"/>
      <c r="C2007" s="2" t="n"/>
      <c r="D2007" s="2" t="n"/>
      <c r="E2007" s="2" t="n"/>
      <c r="F2007" s="2" t="n"/>
      <c r="G2007" s="2" t="n"/>
    </row>
    <row r="2008" ht="51" customHeight="1">
      <c r="A2008"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19</t>
        </is>
      </c>
      <c r="B2008" s="4" t="n"/>
      <c r="C2008" s="4" t="n"/>
      <c r="D2008" s="4" t="n"/>
      <c r="E2008" s="4" t="n"/>
      <c r="F2008" s="4" t="n"/>
      <c r="G2008" s="4" t="n"/>
    </row>
    <row r="2009" ht="25" customHeight="1">
      <c r="A2009" s="23" t="inlineStr">
        <is>
          <t>Исходная программа ОКБО ↗</t>
        </is>
      </c>
      <c r="D2009" s="23" t="inlineStr">
        <is>
          <t>Исходный УТП ОКБО ↗</t>
        </is>
      </c>
    </row>
    <row r="2010" ht="27" customHeight="1">
      <c r="A2010" s="24">
        <f>HYPERLINK("#'Выбор тем'!E"&amp;MATCH("T-9CDE7CD7",'Выбор тем'!$A:$A,0),"← Вернуться к теме")</f>
        <v/>
      </c>
    </row>
    <row r="2012" ht="38" customHeight="1">
      <c r="A2012" s="18" t="inlineStr">
        <is>
          <t>Планирование и проведение аудита кибербезопасности. Управление процессом аудита</t>
        </is>
      </c>
      <c r="B2012" s="19" t="n"/>
      <c r="C2012" s="19" t="n"/>
      <c r="D2012" s="19" t="n"/>
      <c r="E2012" s="19" t="n"/>
      <c r="F2012" s="19" t="n"/>
      <c r="G2012" s="19" t="n"/>
    </row>
    <row r="2013" ht="26" customHeight="1">
      <c r="A2013" s="3" t="inlineStr">
        <is>
          <t>T-98153B1D · Программы: АУРИК</t>
        </is>
      </c>
      <c r="B2013" s="4" t="n"/>
      <c r="C2013" s="4" t="n"/>
      <c r="D2013" s="4" t="n"/>
      <c r="E2013" s="4" t="n"/>
      <c r="F2013" s="4" t="n"/>
      <c r="G2013" s="4" t="n"/>
    </row>
    <row r="2014" ht="27" customHeight="1">
      <c r="A2014" s="20" t="inlineStr">
        <is>
          <t>Вариант для: АУРИК</t>
        </is>
      </c>
      <c r="B2014" s="21" t="n"/>
      <c r="C2014" s="21" t="n"/>
      <c r="D2014" s="21" t="n"/>
      <c r="E2014" s="21" t="n"/>
      <c r="F2014" s="21" t="n"/>
      <c r="G2014" s="21" t="n"/>
    </row>
    <row r="2015" ht="48" customHeight="1">
      <c r="A2015" s="22" t="inlineStr">
        <is>
          <t>Планирование аудита кибербезопасности. Этапы планирования аудита: подготовка аудита безопасности, анализ требований и исходных данных, документирование процедуры проведения аудита.</t>
        </is>
      </c>
      <c r="B2015" s="2" t="n"/>
      <c r="C2015" s="2" t="n"/>
      <c r="D2015" s="2" t="n"/>
      <c r="E2015" s="2" t="n"/>
      <c r="F2015" s="2" t="n"/>
      <c r="G2015" s="2" t="n"/>
    </row>
    <row r="2016" ht="64" customHeight="1">
      <c r="A2016" s="22" t="inlineStr">
        <is>
          <t>Управление аудитом кибербезопасности организации. Программы аудита. Фазы управления программой аудита. Объем программы аудита. Ответственные за управление программой аудита. Определение ресурсов для программы аудита. Процедуры программы аудита. Внедрение программы аудита. Записи по программе аудита. Показатели деятельности по аудиту. Анализ программы аудита.</t>
        </is>
      </c>
      <c r="B2016" s="2" t="n"/>
      <c r="C2016" s="2" t="n"/>
      <c r="D2016" s="2" t="n"/>
      <c r="E2016" s="2" t="n"/>
      <c r="F2016" s="2" t="n"/>
      <c r="G2016" s="2" t="n"/>
    </row>
    <row r="2017" ht="48" customHeight="1">
      <c r="A2017" s="22" t="inlineStr">
        <is>
          <t>Практические аспекты внедрения процесса аудита кибербезопасности в организации. Определение области проведения аудита. Определение критериев аудита. Разработка плана проведения аудита.</t>
        </is>
      </c>
      <c r="B2017" s="2" t="n"/>
      <c r="C2017" s="2" t="n"/>
      <c r="D2017" s="2" t="n"/>
      <c r="E2017" s="2" t="n"/>
      <c r="F2017" s="2" t="n"/>
      <c r="G2017" s="2" t="n"/>
    </row>
    <row r="2018" ht="48" customHeight="1">
      <c r="A2018" s="22" t="inlineStr">
        <is>
          <t>Проведение установочной встречи. Анализ и экспертиза документации. Сбор и анализ информации из общедоступных источников. Инструменты аудита. Подготовка анкет-вопросников (чек-листов) для проведения аудита. Проведение интервью.</t>
        </is>
      </c>
      <c r="B2018" s="2" t="n"/>
      <c r="C2018" s="2" t="n"/>
      <c r="D2018" s="2" t="n"/>
      <c r="E2018" s="2" t="n"/>
      <c r="F2018" s="2" t="n"/>
      <c r="G2018" s="2" t="n"/>
    </row>
    <row r="2019" ht="32" customHeight="1">
      <c r="A2019" s="22" t="inlineStr">
        <is>
          <t>Оформление отчета.</t>
        </is>
      </c>
      <c r="B2019" s="2" t="n"/>
      <c r="C2019" s="2" t="n"/>
      <c r="D2019" s="2" t="n"/>
      <c r="E2019" s="2" t="n"/>
      <c r="F2019" s="2" t="n"/>
      <c r="G2019" s="2" t="n"/>
    </row>
    <row r="2020" ht="51" customHeight="1">
      <c r="A2020" s="3" t="inlineStr">
        <is>
          <t>АУРИК — Аудит, управление рисками и инцидентами кибербезопасности
Раздел: Аудит кибербезопасности · УТП: таблица 2, строка 21</t>
        </is>
      </c>
      <c r="B2020" s="4" t="n"/>
      <c r="C2020" s="4" t="n"/>
      <c r="D2020" s="4" t="n"/>
      <c r="E2020" s="4" t="n"/>
      <c r="F2020" s="4" t="n"/>
      <c r="G2020" s="4" t="n"/>
    </row>
    <row r="2021" ht="30" customHeight="1">
      <c r="A2021" s="3" t="inlineStr">
        <is>
          <t>В программе: Тема 3. Планирование и проведение аудита кибербезопасности. Управление процессом аудита (3 часа лекции, 1 час круглый стол).</t>
        </is>
      </c>
      <c r="B2021" s="4" t="n"/>
      <c r="C2021" s="4" t="n"/>
      <c r="D2021" s="4" t="n"/>
      <c r="E2021" s="4" t="n"/>
      <c r="F2021" s="4" t="n"/>
      <c r="G2021" s="4" t="n"/>
    </row>
    <row r="2022" ht="25" customHeight="1">
      <c r="A2022" s="23" t="inlineStr">
        <is>
          <t>Исходная программа АУРИК ↗</t>
        </is>
      </c>
      <c r="D2022" s="23" t="inlineStr">
        <is>
          <t>Исходный УТП АУРИК ↗</t>
        </is>
      </c>
    </row>
    <row r="2023" ht="27" customHeight="1">
      <c r="A2023" s="24">
        <f>HYPERLINK("#'Выбор тем'!E"&amp;MATCH("T-98153B1D",'Выбор тем'!$A:$A,0),"← Вернуться к теме")</f>
        <v/>
      </c>
    </row>
    <row r="2025" ht="38" customHeight="1">
      <c r="A2025" s="18" t="inlineStr">
        <is>
          <t>Платформенная модель «Цифровое государство»: архитектура и компоненты</t>
        </is>
      </c>
      <c r="B2025" s="19" t="n"/>
      <c r="C2025" s="19" t="n"/>
      <c r="D2025" s="19" t="n"/>
      <c r="E2025" s="19" t="n"/>
      <c r="F2025" s="19" t="n"/>
      <c r="G2025" s="19" t="n"/>
    </row>
    <row r="2026" ht="26" customHeight="1">
      <c r="A2026" s="3" t="inlineStr">
        <is>
          <t>T-1A3B7311 · Программы: ЦТГУ</t>
        </is>
      </c>
      <c r="B2026" s="4" t="n"/>
      <c r="C2026" s="4" t="n"/>
      <c r="D2026" s="4" t="n"/>
      <c r="E2026" s="4" t="n"/>
      <c r="F2026" s="4" t="n"/>
      <c r="G2026" s="4" t="n"/>
    </row>
    <row r="2027" ht="27" customHeight="1">
      <c r="A2027" s="20" t="inlineStr">
        <is>
          <t>Вариант для: ЦТГУ</t>
        </is>
      </c>
      <c r="B2027" s="21" t="n"/>
      <c r="C2027" s="21" t="n"/>
      <c r="D2027" s="21" t="n"/>
      <c r="E2027" s="21" t="n"/>
      <c r="F2027" s="21" t="n"/>
      <c r="G2027" s="21" t="n"/>
    </row>
    <row r="2028" ht="96" customHeight="1">
      <c r="A2028" s="22" t="inlineStr">
        <is>
          <t>Принципы платформенного подхода; базовые компоненты (общегосударственная автоматизированная информационная система (далее – ОАИС), единый портал электронных услуг (далее – ЕПЭУ), система межведомственного электронного документооборота государственных органов Республики Беларусь (далее – СМДО), единая система идентификации физических и юридических лиц (далее – ЕС ИФЮЛ), единое рабочее место госслужащего). Требования к межведомственному взаимодействию и интероперабельности. Подходы к построению экосистемы цифровых сервисов, включая мобильное приложение «Е-Паслуга» и концепцию «Государство в кармане».</t>
        </is>
      </c>
      <c r="B2028" s="2" t="n"/>
      <c r="C2028" s="2" t="n"/>
      <c r="D2028" s="2" t="n"/>
      <c r="E2028" s="2" t="n"/>
      <c r="F2028" s="2" t="n"/>
      <c r="G2028" s="2" t="n"/>
    </row>
    <row r="2029" ht="51" customHeight="1">
      <c r="A2029"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9</t>
        </is>
      </c>
      <c r="B2029" s="4" t="n"/>
      <c r="C2029" s="4" t="n"/>
      <c r="D2029" s="4" t="n"/>
      <c r="E2029" s="4" t="n"/>
      <c r="F2029" s="4" t="n"/>
      <c r="G2029" s="4" t="n"/>
    </row>
    <row r="2030" ht="30" customHeight="1">
      <c r="A2030" s="3" t="inlineStr">
        <is>
          <t>В программе: Тема 4. Платформенная модель «Цифровое государство»: архитектура и компоненты (2 часа лекции).</t>
        </is>
      </c>
      <c r="B2030" s="4" t="n"/>
      <c r="C2030" s="4" t="n"/>
      <c r="D2030" s="4" t="n"/>
      <c r="E2030" s="4" t="n"/>
      <c r="F2030" s="4" t="n"/>
      <c r="G2030" s="4" t="n"/>
    </row>
    <row r="2031" ht="25" customHeight="1">
      <c r="A2031" s="23" t="inlineStr">
        <is>
          <t>Исходная программа ЦТГУ ↗</t>
        </is>
      </c>
      <c r="D2031" s="23" t="inlineStr">
        <is>
          <t>Исходный УТП ЦТГУ ↗</t>
        </is>
      </c>
    </row>
    <row r="2032" ht="27" customHeight="1">
      <c r="A2032" s="24">
        <f>HYPERLINK("#'Выбор тем'!E"&amp;MATCH("T-1A3B7311",'Выбор тем'!$A:$A,0),"← Вернуться к теме")</f>
        <v/>
      </c>
    </row>
    <row r="2034" ht="38" customHeight="1">
      <c r="A2034" s="18" t="inlineStr">
        <is>
          <t>Плейбук в системе SOAR: понятие, структура и принципы построения</t>
        </is>
      </c>
      <c r="B2034" s="19" t="n"/>
      <c r="C2034" s="19" t="n"/>
      <c r="D2034" s="19" t="n"/>
      <c r="E2034" s="19" t="n"/>
      <c r="F2034" s="19" t="n"/>
      <c r="G2034" s="19" t="n"/>
    </row>
    <row r="2035" ht="26" customHeight="1">
      <c r="A2035" s="3" t="inlineStr">
        <is>
          <t>T-ED6B85B9 · Программы: РКИОК</t>
        </is>
      </c>
      <c r="B2035" s="4" t="n"/>
      <c r="C2035" s="4" t="n"/>
      <c r="D2035" s="4" t="n"/>
      <c r="E2035" s="4" t="n"/>
      <c r="F2035" s="4" t="n"/>
      <c r="G2035" s="4" t="n"/>
    </row>
    <row r="2036" ht="27" customHeight="1">
      <c r="A2036" s="20" t="inlineStr">
        <is>
          <t>Вариант для: РКИОК</t>
        </is>
      </c>
      <c r="B2036" s="21" t="n"/>
      <c r="C2036" s="21" t="n"/>
      <c r="D2036" s="21" t="n"/>
      <c r="E2036" s="21" t="n"/>
      <c r="F2036" s="21" t="n"/>
      <c r="G2036" s="21" t="n"/>
    </row>
    <row r="2037" ht="48" customHeight="1">
      <c r="A2037" s="22" t="inlineStr">
        <is>
          <t>Определение плейбука как последовательности действий и условий. Структура: триггеры, логические ветвления, шаги реагирования. Переиспользование и адаптация шаблонов для разных инцидентов.</t>
        </is>
      </c>
      <c r="B2037" s="2" t="n"/>
      <c r="C2037" s="2" t="n"/>
      <c r="D2037" s="2" t="n"/>
      <c r="E2037" s="2" t="n"/>
      <c r="F2037" s="2" t="n"/>
      <c r="G2037" s="2" t="n"/>
    </row>
    <row r="2038" ht="51" customHeight="1">
      <c r="A2038" s="3" t="inlineStr">
        <is>
          <t>РКИОК — Реагирование на киберинциденты и отражение кибератак
Раздел: Интеграция и использование SOAR в ЦКБ · УТП: таблица 2, строка 46</t>
        </is>
      </c>
      <c r="B2038" s="4" t="n"/>
      <c r="C2038" s="4" t="n"/>
      <c r="D2038" s="4" t="n"/>
      <c r="E2038" s="4" t="n"/>
      <c r="F2038" s="4" t="n"/>
      <c r="G2038" s="4" t="n"/>
    </row>
    <row r="2039" ht="30" customHeight="1">
      <c r="A2039" s="3" t="inlineStr">
        <is>
          <t>В программе: Тема 4. Плейбук в системе SOAR: понятие, структура и принципы построения (1 час лекции).</t>
        </is>
      </c>
      <c r="B2039" s="4" t="n"/>
      <c r="C2039" s="4" t="n"/>
      <c r="D2039" s="4" t="n"/>
      <c r="E2039" s="4" t="n"/>
      <c r="F2039" s="4" t="n"/>
      <c r="G2039" s="4" t="n"/>
    </row>
    <row r="2040" ht="25" customHeight="1">
      <c r="A2040" s="23" t="inlineStr">
        <is>
          <t>Исходная программа РКИОК ↗</t>
        </is>
      </c>
      <c r="D2040" s="23" t="inlineStr">
        <is>
          <t>Исходный УТП РКИОК ↗</t>
        </is>
      </c>
    </row>
    <row r="2041" ht="27" customHeight="1">
      <c r="A2041" s="24">
        <f>HYPERLINK("#'Выбор тем'!E"&amp;MATCH("T-ED6B85B9",'Выбор тем'!$A:$A,0),"← Вернуться к теме")</f>
        <v/>
      </c>
    </row>
    <row r="2043" ht="38" customHeight="1">
      <c r="A2043" s="18" t="inlineStr">
        <is>
          <t>Поведенческие триггеры</t>
        </is>
      </c>
      <c r="B2043" s="19" t="n"/>
      <c r="C2043" s="19" t="n"/>
      <c r="D2043" s="19" t="n"/>
      <c r="E2043" s="19" t="n"/>
      <c r="F2043" s="19" t="n"/>
      <c r="G2043" s="19" t="n"/>
    </row>
    <row r="2044" ht="26" customHeight="1">
      <c r="A2044" s="3" t="inlineStr">
        <is>
          <t>T-DEAC0563 · Программы: РКИОК</t>
        </is>
      </c>
      <c r="B2044" s="4" t="n"/>
      <c r="C2044" s="4" t="n"/>
      <c r="D2044" s="4" t="n"/>
      <c r="E2044" s="4" t="n"/>
      <c r="F2044" s="4" t="n"/>
      <c r="G2044" s="4" t="n"/>
    </row>
    <row r="2045" ht="27" customHeight="1">
      <c r="A2045" s="20" t="inlineStr">
        <is>
          <t>Вариант для: РКИОК</t>
        </is>
      </c>
      <c r="B2045" s="21" t="n"/>
      <c r="C2045" s="21" t="n"/>
      <c r="D2045" s="21" t="n"/>
      <c r="E2045" s="21" t="n"/>
      <c r="F2045" s="21" t="n"/>
      <c r="G2045" s="21" t="n"/>
    </row>
    <row r="2046" ht="48" customHeight="1">
      <c r="A2046" s="22" t="inlineStr">
        <is>
          <t>Определение и использование паттернов поведения для запуска процедур реагирования. Примеры аномальных действий пользователей и приложений. Методы настройки чувствительности триггеров.</t>
        </is>
      </c>
      <c r="B2046" s="2" t="n"/>
      <c r="C2046" s="2" t="n"/>
      <c r="D2046" s="2" t="n"/>
      <c r="E2046" s="2" t="n"/>
      <c r="F2046" s="2" t="n"/>
      <c r="G2046" s="2" t="n"/>
    </row>
    <row r="2047" ht="51" customHeight="1">
      <c r="A2047" s="3" t="inlineStr">
        <is>
          <t>РКИОК — Реагирование на киберинциденты и отражение кибератак
Раздел: Автоматизация обработки инцидентов · УТП: таблица 2, строка 62</t>
        </is>
      </c>
      <c r="B2047" s="4" t="n"/>
      <c r="C2047" s="4" t="n"/>
      <c r="D2047" s="4" t="n"/>
      <c r="E2047" s="4" t="n"/>
      <c r="F2047" s="4" t="n"/>
      <c r="G2047" s="4" t="n"/>
    </row>
    <row r="2048" ht="30" customHeight="1">
      <c r="A2048" s="3" t="inlineStr">
        <is>
          <t>В программе: Тема 4. Поведенческие триггеры (1 час лекции).</t>
        </is>
      </c>
      <c r="B2048" s="4" t="n"/>
      <c r="C2048" s="4" t="n"/>
      <c r="D2048" s="4" t="n"/>
      <c r="E2048" s="4" t="n"/>
      <c r="F2048" s="4" t="n"/>
      <c r="G2048" s="4" t="n"/>
    </row>
    <row r="2049" ht="25" customHeight="1">
      <c r="A2049" s="23" t="inlineStr">
        <is>
          <t>Исходная программа РКИОК ↗</t>
        </is>
      </c>
      <c r="D2049" s="23" t="inlineStr">
        <is>
          <t>Исходный УТП РКИОК ↗</t>
        </is>
      </c>
    </row>
    <row r="2050" ht="27" customHeight="1">
      <c r="A2050" s="24">
        <f>HYPERLINK("#'Выбор тем'!E"&amp;MATCH("T-DEAC0563",'Выбор тем'!$A:$A,0),"← Вернуться к теме")</f>
        <v/>
      </c>
    </row>
    <row r="2052" ht="38" customHeight="1">
      <c r="A2052" s="18" t="inlineStr">
        <is>
          <t>Подготовка исходных данных к проведению аттестации системы защиты информации</t>
        </is>
      </c>
      <c r="B2052" s="19" t="n"/>
      <c r="C2052" s="19" t="n"/>
      <c r="D2052" s="19" t="n"/>
      <c r="E2052" s="19" t="n"/>
      <c r="F2052" s="19" t="n"/>
      <c r="G2052" s="19" t="n"/>
    </row>
    <row r="2053" ht="26" customHeight="1">
      <c r="A2053" s="3" t="inlineStr">
        <is>
          <t>T-073C7E19 · Программы: ПСАЭ</t>
        </is>
      </c>
      <c r="B2053" s="4" t="n"/>
      <c r="C2053" s="4" t="n"/>
      <c r="D2053" s="4" t="n"/>
      <c r="E2053" s="4" t="n"/>
      <c r="F2053" s="4" t="n"/>
      <c r="G2053" s="4" t="n"/>
    </row>
    <row r="2054" ht="27" customHeight="1">
      <c r="A2054" s="20" t="inlineStr">
        <is>
          <t>Вариант для: ПСАЭ</t>
        </is>
      </c>
      <c r="B2054" s="21" t="n"/>
      <c r="C2054" s="21" t="n"/>
      <c r="D2054" s="21" t="n"/>
      <c r="E2054" s="21" t="n"/>
      <c r="F2054" s="21" t="n"/>
      <c r="G2054" s="21" t="n"/>
    </row>
    <row r="2055" ht="31" customHeight="1">
      <c r="A2055"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055" s="26" t="n"/>
      <c r="C2055" s="26" t="n"/>
      <c r="D2055" s="26" t="n"/>
      <c r="E2055" s="26" t="n"/>
      <c r="F2055" s="26" t="n"/>
      <c r="G2055" s="26" t="n"/>
    </row>
    <row r="2056" ht="32" customHeight="1">
      <c r="A2056" s="22" t="inlineStr">
        <is>
          <t>Разработка структурной и логической схем системы защиты информации.</t>
        </is>
      </c>
      <c r="B2056" s="2" t="n"/>
      <c r="C2056" s="2" t="n"/>
      <c r="D2056" s="2" t="n"/>
      <c r="E2056" s="2" t="n"/>
      <c r="F2056" s="2" t="n"/>
      <c r="G2056" s="2" t="n"/>
    </row>
    <row r="2057" ht="32" customHeight="1">
      <c r="A2057" s="22" t="inlineStr">
        <is>
          <t>Определение перечня и разработка локальных правовых актов, регламентирующих вопросы защиты информации.</t>
        </is>
      </c>
      <c r="B2057" s="2" t="n"/>
      <c r="C2057" s="2" t="n"/>
      <c r="D2057" s="2" t="n"/>
      <c r="E2057" s="2" t="n"/>
      <c r="F2057" s="2" t="n"/>
      <c r="G2057" s="2" t="n"/>
    </row>
    <row r="2058" ht="32" customHeight="1">
      <c r="A2058" s="22" t="inlineStr">
        <is>
          <t>Подготовка исходных данных к проведению аттестации системы защиты информации.</t>
        </is>
      </c>
      <c r="B2058" s="2" t="n"/>
      <c r="C2058" s="2" t="n"/>
      <c r="D2058" s="2" t="n"/>
      <c r="E2058" s="2" t="n"/>
      <c r="F2058" s="2" t="n"/>
      <c r="G2058" s="2" t="n"/>
    </row>
    <row r="2059" ht="51" customHeight="1">
      <c r="A205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28</t>
        </is>
      </c>
      <c r="B2059" s="4" t="n"/>
      <c r="C2059" s="4" t="n"/>
      <c r="D2059" s="4" t="n"/>
      <c r="E2059" s="4" t="n"/>
      <c r="F2059" s="4" t="n"/>
      <c r="G2059" s="4" t="n"/>
    </row>
    <row r="2060" ht="30" customHeight="1">
      <c r="A2060" s="3" t="inlineStr">
        <is>
          <t>В программе: Тема 9. Практикум (6 часов практические занятия).</t>
        </is>
      </c>
      <c r="B2060" s="4" t="n"/>
      <c r="C2060" s="4" t="n"/>
      <c r="D2060" s="4" t="n"/>
      <c r="E2060" s="4" t="n"/>
      <c r="F2060" s="4" t="n"/>
      <c r="G2060" s="4" t="n"/>
    </row>
    <row r="2061" ht="25" customHeight="1">
      <c r="A2061" s="23" t="inlineStr">
        <is>
          <t>Исходная программа ПСАЭ ↗</t>
        </is>
      </c>
      <c r="D2061" s="23" t="inlineStr">
        <is>
          <t>Исходный УТП ПСАЭ ↗</t>
        </is>
      </c>
    </row>
    <row r="2062" ht="27" customHeight="1">
      <c r="A2062" s="24">
        <f>HYPERLINK("#'Выбор тем'!E"&amp;MATCH("T-073C7E19",'Выбор тем'!$A:$A,0),"← Вернуться к теме")</f>
        <v/>
      </c>
    </row>
    <row r="2064" ht="38" customHeight="1">
      <c r="A2064" s="18" t="inlineStr">
        <is>
          <t>Подключение внешних фидов, загрузка собственных индикаторов</t>
        </is>
      </c>
      <c r="B2064" s="19" t="n"/>
      <c r="C2064" s="19" t="n"/>
      <c r="D2064" s="19" t="n"/>
      <c r="E2064" s="19" t="n"/>
      <c r="F2064" s="19" t="n"/>
      <c r="G2064" s="19" t="n"/>
    </row>
    <row r="2065" ht="26" customHeight="1">
      <c r="A2065" s="3" t="inlineStr">
        <is>
          <t>T-17154455 · Программы: РКИОК</t>
        </is>
      </c>
      <c r="B2065" s="4" t="n"/>
      <c r="C2065" s="4" t="n"/>
      <c r="D2065" s="4" t="n"/>
      <c r="E2065" s="4" t="n"/>
      <c r="F2065" s="4" t="n"/>
      <c r="G2065" s="4" t="n"/>
    </row>
    <row r="2066" ht="27" customHeight="1">
      <c r="A2066" s="20" t="inlineStr">
        <is>
          <t>Вариант для: РКИОК</t>
        </is>
      </c>
      <c r="B2066" s="21" t="n"/>
      <c r="C2066" s="21" t="n"/>
      <c r="D2066" s="21" t="n"/>
      <c r="E2066" s="21" t="n"/>
      <c r="F2066" s="21" t="n"/>
      <c r="G2066" s="21" t="n"/>
    </row>
    <row r="2067" ht="48" customHeight="1">
      <c r="A2067" s="22" t="inlineStr">
        <is>
          <t>Настройка и управление внешними потоками данных (фидами). Процедуры загрузки собственных IoC через веб-интерфейс или API. Указание метаданных: источник, достоверность, срок действия.</t>
        </is>
      </c>
      <c r="B2067" s="2" t="n"/>
      <c r="C2067" s="2" t="n"/>
      <c r="D2067" s="2" t="n"/>
      <c r="E2067" s="2" t="n"/>
      <c r="F2067" s="2" t="n"/>
      <c r="G2067" s="2" t="n"/>
    </row>
    <row r="2068" ht="51" customHeight="1">
      <c r="A2068" s="3" t="inlineStr">
        <is>
          <t>РКИОК — Реагирование на киберинциденты и отражение кибератак
Раздел: Интеграция и использование TI в ЦКБ · УТП: таблица 2, строка 52</t>
        </is>
      </c>
      <c r="B2068" s="4" t="n"/>
      <c r="C2068" s="4" t="n"/>
      <c r="D2068" s="4" t="n"/>
      <c r="E2068" s="4" t="n"/>
      <c r="F2068" s="4" t="n"/>
      <c r="G2068" s="4" t="n"/>
    </row>
    <row r="2069" ht="30" customHeight="1">
      <c r="A2069" s="3" t="inlineStr">
        <is>
          <t>В программе: Тема 2. Подключение внешних фидов, загрузка собственных индикаторов (1 час лекции).</t>
        </is>
      </c>
      <c r="B2069" s="4" t="n"/>
      <c r="C2069" s="4" t="n"/>
      <c r="D2069" s="4" t="n"/>
      <c r="E2069" s="4" t="n"/>
      <c r="F2069" s="4" t="n"/>
      <c r="G2069" s="4" t="n"/>
    </row>
    <row r="2070" ht="25" customHeight="1">
      <c r="A2070" s="23" t="inlineStr">
        <is>
          <t>Исходная программа РКИОК ↗</t>
        </is>
      </c>
      <c r="D2070" s="23" t="inlineStr">
        <is>
          <t>Исходный УТП РКИОК ↗</t>
        </is>
      </c>
    </row>
    <row r="2071" ht="27" customHeight="1">
      <c r="A2071" s="24">
        <f>HYPERLINK("#'Выбор тем'!E"&amp;MATCH("T-17154455",'Выбор тем'!$A:$A,0),"← Вернуться к теме")</f>
        <v/>
      </c>
    </row>
    <row r="2073" ht="38" customHeight="1">
      <c r="A2073" s="18" t="inlineStr">
        <is>
          <t>Подключение источника, нормализация событий, корреляция, обработка ложных событий</t>
        </is>
      </c>
      <c r="B2073" s="19" t="n"/>
      <c r="C2073" s="19" t="n"/>
      <c r="D2073" s="19" t="n"/>
      <c r="E2073" s="19" t="n"/>
      <c r="F2073" s="19" t="n"/>
      <c r="G2073" s="19" t="n"/>
    </row>
    <row r="2074" ht="26" customHeight="1">
      <c r="A2074" s="3" t="inlineStr">
        <is>
          <t>T-FC0E5E98 · Программы: ОКБО</t>
        </is>
      </c>
      <c r="B2074" s="4" t="n"/>
      <c r="C2074" s="4" t="n"/>
      <c r="D2074" s="4" t="n"/>
      <c r="E2074" s="4" t="n"/>
      <c r="F2074" s="4" t="n"/>
      <c r="G2074" s="4" t="n"/>
    </row>
    <row r="2075" ht="27" customHeight="1">
      <c r="A2075" s="20" t="inlineStr">
        <is>
          <t>Вариант для: ОКБО</t>
        </is>
      </c>
      <c r="B2075" s="21" t="n"/>
      <c r="C2075" s="21" t="n"/>
      <c r="D2075" s="21" t="n"/>
      <c r="E2075" s="21" t="n"/>
      <c r="F2075" s="21" t="n"/>
      <c r="G2075" s="21" t="n"/>
    </row>
    <row r="2076" ht="31" customHeight="1">
      <c r="A2076" s="25" t="inlineStr">
        <is>
          <t>Содержание составлено из указанных фрагментов обновлённой программы. Название УТП отличается; соответствие требует проверки организатором.</t>
        </is>
      </c>
      <c r="B2076" s="26" t="n"/>
      <c r="C2076" s="26" t="n"/>
      <c r="D2076" s="26" t="n"/>
      <c r="E2076" s="26" t="n"/>
      <c r="F2076" s="26" t="n"/>
      <c r="G2076" s="26" t="n"/>
    </row>
    <row r="2077" ht="32" customHeight="1">
      <c r="A2077" s="22" t="inlineStr">
        <is>
          <t>Фрагмент: Тема 4. Подключение различных источников событий (2 часа практические занятия).</t>
        </is>
      </c>
      <c r="B2077" s="2" t="n"/>
      <c r="C2077" s="2" t="n"/>
      <c r="D2077" s="2" t="n"/>
      <c r="E2077" s="2" t="n"/>
      <c r="F2077" s="2" t="n"/>
      <c r="G2077" s="2" t="n"/>
    </row>
    <row r="2078" ht="64" customHeight="1">
      <c r="A2078" s="22" t="inlineStr">
        <is>
          <t>Запуск SIEM-системы. Подключение источников событий с агентом (Windows), без агента (Linux). Настройка NGFW с функцией IPS для отправки событий в SIEM-систему. Настройка средств антивирусной защиты для отправки событий в SIEM-систему. Настройка службы Sysmon в ОС Windows для отслеживания и регистрации активности системы в журнале событий Windows. Настройка службы rsyslog/auditd Linux для сбора событий.</t>
        </is>
      </c>
      <c r="B2078" s="2" t="n"/>
      <c r="C2078" s="2" t="n"/>
      <c r="D2078" s="2" t="n"/>
      <c r="E2078" s="2" t="n"/>
      <c r="F2078" s="2" t="n"/>
      <c r="G2078" s="2" t="n"/>
    </row>
    <row r="2079" ht="32" customHeight="1">
      <c r="A2079" s="22" t="inlineStr">
        <is>
          <t>Фрагмент: Тема 5. Нормализация событий, корреляция, обработка ложных событий (1 час практические занятия).</t>
        </is>
      </c>
      <c r="B2079" s="2" t="n"/>
      <c r="C2079" s="2" t="n"/>
      <c r="D2079" s="2" t="n"/>
      <c r="E2079" s="2" t="n"/>
      <c r="F2079" s="2" t="n"/>
      <c r="G2079" s="2" t="n"/>
    </row>
    <row r="2080" ht="32" customHeight="1">
      <c r="A2080" s="22" t="inlineStr">
        <is>
          <t>Создание простых правил нормализации и корреляции, тестирование оповещений и доставки триггеров.</t>
        </is>
      </c>
      <c r="B2080" s="2" t="n"/>
      <c r="C2080" s="2" t="n"/>
      <c r="D2080" s="2" t="n"/>
      <c r="E2080" s="2" t="n"/>
      <c r="F2080" s="2" t="n"/>
      <c r="G2080" s="2" t="n"/>
    </row>
    <row r="2081" ht="51" customHeight="1">
      <c r="A2081"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33</t>
        </is>
      </c>
      <c r="B2081" s="4" t="n"/>
      <c r="C2081" s="4" t="n"/>
      <c r="D2081" s="4" t="n"/>
      <c r="E2081" s="4" t="n"/>
      <c r="F2081" s="4" t="n"/>
      <c r="G2081" s="4" t="n"/>
    </row>
    <row r="2082" ht="46" customHeight="1">
      <c r="A2082" s="3" t="inlineStr">
        <is>
          <t>В программе: Тема 4. Подключение различных источников событий (2 часа практические занятия). / Тема 5. Нормализация событий, корреляция, обработка ложных событий (1 час практические занятия).</t>
        </is>
      </c>
      <c r="B2082" s="4" t="n"/>
      <c r="C2082" s="4" t="n"/>
      <c r="D2082" s="4" t="n"/>
      <c r="E2082" s="4" t="n"/>
      <c r="F2082" s="4" t="n"/>
      <c r="G2082" s="4" t="n"/>
    </row>
    <row r="2083" ht="25" customHeight="1">
      <c r="A2083" s="23" t="inlineStr">
        <is>
          <t>Исходная программа ОКБО ↗</t>
        </is>
      </c>
      <c r="D2083" s="23" t="inlineStr">
        <is>
          <t>Исходный УТП ОКБО ↗</t>
        </is>
      </c>
    </row>
    <row r="2084" ht="27" customHeight="1">
      <c r="A2084" s="24">
        <f>HYPERLINK("#'Выбор тем'!E"&amp;MATCH("T-FC0E5E98",'Выбор тем'!$A:$A,0),"← Вернуться к теме")</f>
        <v/>
      </c>
    </row>
    <row r="2086" ht="38" customHeight="1">
      <c r="A2086" s="18" t="inlineStr">
        <is>
          <t>Подключение различных источников событий</t>
        </is>
      </c>
      <c r="B2086" s="19" t="n"/>
      <c r="C2086" s="19" t="n"/>
      <c r="D2086" s="19" t="n"/>
      <c r="E2086" s="19" t="n"/>
      <c r="F2086" s="19" t="n"/>
      <c r="G2086" s="19" t="n"/>
    </row>
    <row r="2087" ht="26" customHeight="1">
      <c r="A2087" s="3" t="inlineStr">
        <is>
          <t>T-A7207ADC · Программы: ОКБО</t>
        </is>
      </c>
      <c r="B2087" s="4" t="n"/>
      <c r="C2087" s="4" t="n"/>
      <c r="D2087" s="4" t="n"/>
      <c r="E2087" s="4" t="n"/>
      <c r="F2087" s="4" t="n"/>
      <c r="G2087" s="4" t="n"/>
    </row>
    <row r="2088" ht="27" customHeight="1">
      <c r="A2088" s="20" t="inlineStr">
        <is>
          <t>Вариант для: ОКБО</t>
        </is>
      </c>
      <c r="B2088" s="21" t="n"/>
      <c r="C2088" s="21" t="n"/>
      <c r="D2088" s="21" t="n"/>
      <c r="E2088" s="21" t="n"/>
      <c r="F2088" s="21" t="n"/>
      <c r="G2088" s="21" t="n"/>
    </row>
    <row r="2089" ht="31" customHeight="1">
      <c r="A2089" s="25" t="inlineStr">
        <is>
          <t>Тема выделена в обновлённой программе отдельно. В текущем УТП нет отдельной строки с таким названием; источник — программа.</t>
        </is>
      </c>
      <c r="B2089" s="26" t="n"/>
      <c r="C2089" s="26" t="n"/>
      <c r="D2089" s="26" t="n"/>
      <c r="E2089" s="26" t="n"/>
      <c r="F2089" s="26" t="n"/>
      <c r="G2089" s="26" t="n"/>
    </row>
    <row r="2090" ht="64" customHeight="1">
      <c r="A2090" s="22" t="inlineStr">
        <is>
          <t>Запуск SIEM-системы. Подключение источников событий с агентом (Windows), без агента (Linux). Настройка NGFW с функцией IPS для отправки событий в SIEM-систему. Настройка средств антивирусной защиты для отправки событий в SIEM-систему. Настройка службы Sysmon в ОС Windows для отслеживания и регистрации активности системы в журнале событий Windows. Настройка службы rsyslog/auditd Linux для сбора событий.</t>
        </is>
      </c>
      <c r="B2090" s="2" t="n"/>
      <c r="C2090" s="2" t="n"/>
      <c r="D2090" s="2" t="n"/>
      <c r="E2090" s="2" t="n"/>
      <c r="F2090" s="2" t="n"/>
      <c r="G2090" s="2" t="n"/>
    </row>
    <row r="2091" ht="51" customHeight="1">
      <c r="A2091" s="3" t="inlineStr">
        <is>
          <t>ОКБО — Обеспечение кибербезопасности организаций
Раздел: VI Системы управления информационной безопасностью и событиями безопасности (SIEM). · Тема добавлена непосредственно из обновлённой программы</t>
        </is>
      </c>
      <c r="B2091" s="4" t="n"/>
      <c r="C2091" s="4" t="n"/>
      <c r="D2091" s="4" t="n"/>
      <c r="E2091" s="4" t="n"/>
      <c r="F2091" s="4" t="n"/>
      <c r="G2091" s="4" t="n"/>
    </row>
    <row r="2092" ht="30" customHeight="1">
      <c r="A2092" s="3" t="inlineStr">
        <is>
          <t>В программе: Тема 4. Подключение различных источников событий (2 часа практические занятия).</t>
        </is>
      </c>
      <c r="B2092" s="4" t="n"/>
      <c r="C2092" s="4" t="n"/>
      <c r="D2092" s="4" t="n"/>
      <c r="E2092" s="4" t="n"/>
      <c r="F2092" s="4" t="n"/>
      <c r="G2092" s="4" t="n"/>
    </row>
    <row r="2093" ht="25" customHeight="1">
      <c r="A2093" s="23" t="inlineStr">
        <is>
          <t>Исходная программа ОКБО ↗</t>
        </is>
      </c>
      <c r="D2093" s="23" t="inlineStr">
        <is>
          <t>УТП для сверки ОКБО ↗</t>
        </is>
      </c>
    </row>
    <row r="2094" ht="27" customHeight="1">
      <c r="A2094" s="24">
        <f>HYPERLINK("#'Выбор тем'!E"&amp;MATCH("T-A7207ADC",'Выбор тем'!$A:$A,0),"← Вернуться к теме")</f>
        <v/>
      </c>
    </row>
    <row r="2096" ht="38" customHeight="1">
      <c r="A2096" s="18" t="inlineStr">
        <is>
          <t>Подсистемы безопасности операционных систем</t>
        </is>
      </c>
      <c r="B2096" s="19" t="n"/>
      <c r="C2096" s="19" t="n"/>
      <c r="D2096" s="19" t="n"/>
      <c r="E2096" s="19" t="n"/>
      <c r="F2096" s="19" t="n"/>
      <c r="G2096" s="19" t="n"/>
    </row>
    <row r="2097" ht="26" customHeight="1">
      <c r="A2097" s="3" t="inlineStr">
        <is>
          <t>T-8C6E913A · Программы: ЗИКС</t>
        </is>
      </c>
      <c r="B2097" s="4" t="n"/>
      <c r="C2097" s="4" t="n"/>
      <c r="D2097" s="4" t="n"/>
      <c r="E2097" s="4" t="n"/>
      <c r="F2097" s="4" t="n"/>
      <c r="G2097" s="4" t="n"/>
    </row>
    <row r="2098" ht="27" customHeight="1">
      <c r="A2098" s="20" t="inlineStr">
        <is>
          <t>Вариант для: ЗИКС</t>
        </is>
      </c>
      <c r="B2098" s="21" t="n"/>
      <c r="C2098" s="21" t="n"/>
      <c r="D2098" s="21" t="n"/>
      <c r="E2098" s="21" t="n"/>
      <c r="F2098" s="21" t="n"/>
      <c r="G2098" s="21" t="n"/>
    </row>
    <row r="2099" ht="32" customHeight="1">
      <c r="A2099" s="22" t="inlineStr">
        <is>
          <t>Безопасность операционных систем.</t>
        </is>
      </c>
      <c r="B2099" s="2" t="n"/>
      <c r="C2099" s="2" t="n"/>
      <c r="D2099" s="2" t="n"/>
      <c r="E2099" s="2" t="n"/>
      <c r="F2099" s="2" t="n"/>
      <c r="G2099" s="2" t="n"/>
    </row>
    <row r="2100" ht="48" customHeight="1">
      <c r="A2100" s="22" t="inlineStr">
        <is>
          <t>Концепция и модель безопасности современных операционных систем, основные уязвимости механизмов безопасности современных ОС и их сравнительный анализ.</t>
        </is>
      </c>
      <c r="B2100" s="2" t="n"/>
      <c r="C2100" s="2" t="n"/>
      <c r="D2100" s="2" t="n"/>
      <c r="E2100" s="2" t="n"/>
      <c r="F2100" s="2" t="n"/>
      <c r="G2100" s="2" t="n"/>
    </row>
    <row r="2101" ht="51" customHeight="1">
      <c r="A2101"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17</t>
        </is>
      </c>
      <c r="B2101" s="4" t="n"/>
      <c r="C2101" s="4" t="n"/>
      <c r="D2101" s="4" t="n"/>
      <c r="E2101" s="4" t="n"/>
      <c r="F2101" s="4" t="n"/>
      <c r="G2101" s="4" t="n"/>
    </row>
    <row r="2102" ht="30" customHeight="1">
      <c r="A2102" s="3" t="inlineStr">
        <is>
          <t>В программе: Тема 4. Подсистемы безопасности операционных систем (4 часа лекции, 4 часа круглый стол).</t>
        </is>
      </c>
      <c r="B2102" s="4" t="n"/>
      <c r="C2102" s="4" t="n"/>
      <c r="D2102" s="4" t="n"/>
      <c r="E2102" s="4" t="n"/>
      <c r="F2102" s="4" t="n"/>
      <c r="G2102" s="4" t="n"/>
    </row>
    <row r="2103" ht="25" customHeight="1">
      <c r="A2103" s="23" t="inlineStr">
        <is>
          <t>Исходная программа ЗИКС ↗</t>
        </is>
      </c>
      <c r="D2103" s="23" t="inlineStr">
        <is>
          <t>Исходный УТП ЗИКС ↗</t>
        </is>
      </c>
    </row>
    <row r="2104" ht="27" customHeight="1">
      <c r="A2104" s="24">
        <f>HYPERLINK("#'Выбор тем'!E"&amp;MATCH("T-8C6E913A",'Выбор тем'!$A:$A,0),"← Вернуться к теме")</f>
        <v/>
      </c>
    </row>
    <row r="2106" ht="38" customHeight="1">
      <c r="A2106" s="18" t="inlineStr">
        <is>
          <t>Поиск и сбор доказательств в изолированной среде</t>
        </is>
      </c>
      <c r="B2106" s="19" t="n"/>
      <c r="C2106" s="19" t="n"/>
      <c r="D2106" s="19" t="n"/>
      <c r="E2106" s="19" t="n"/>
      <c r="F2106" s="19" t="n"/>
      <c r="G2106" s="19" t="n"/>
    </row>
    <row r="2107" ht="26" customHeight="1">
      <c r="A2107" s="3" t="inlineStr">
        <is>
          <t>T-8A655C52 · Программы: РКИОК</t>
        </is>
      </c>
      <c r="B2107" s="4" t="n"/>
      <c r="C2107" s="4" t="n"/>
      <c r="D2107" s="4" t="n"/>
      <c r="E2107" s="4" t="n"/>
      <c r="F2107" s="4" t="n"/>
      <c r="G2107" s="4" t="n"/>
    </row>
    <row r="2108" ht="27" customHeight="1">
      <c r="A2108" s="20" t="inlineStr">
        <is>
          <t>Вариант для: РКИОК</t>
        </is>
      </c>
      <c r="B2108" s="21" t="n"/>
      <c r="C2108" s="21" t="n"/>
      <c r="D2108" s="21" t="n"/>
      <c r="E2108" s="21" t="n"/>
      <c r="F2108" s="21" t="n"/>
      <c r="G2108" s="21" t="n"/>
    </row>
    <row r="2109" ht="48" customHeight="1">
      <c r="A2109" s="22" t="inlineStr">
        <is>
          <t>Описание сценария инцидента. Сбор артефактов с использованием различных инструментов. Анализ и интерпретация полученных данных. Обсуждение результатов анализа.</t>
        </is>
      </c>
      <c r="B2109" s="2" t="n"/>
      <c r="C2109" s="2" t="n"/>
      <c r="D2109" s="2" t="n"/>
      <c r="E2109" s="2" t="n"/>
      <c r="F2109" s="2" t="n"/>
      <c r="G2109" s="2" t="n"/>
    </row>
    <row r="2110" ht="51" customHeight="1">
      <c r="A2110" s="3" t="inlineStr">
        <is>
          <t>РКИОК — Реагирование на киберинциденты и отражение кибератак
Раздел: Введение в киберкриминалистику · УТП: таблица 2, строка 27</t>
        </is>
      </c>
      <c r="B2110" s="4" t="n"/>
      <c r="C2110" s="4" t="n"/>
      <c r="D2110" s="4" t="n"/>
      <c r="E2110" s="4" t="n"/>
      <c r="F2110" s="4" t="n"/>
      <c r="G2110" s="4" t="n"/>
    </row>
    <row r="2111" ht="30" customHeight="1">
      <c r="A2111" s="3" t="inlineStr">
        <is>
          <t>В программе: Тема 7. Поиск и сбор доказательств в изолированной среде (2 часа практические занятия).</t>
        </is>
      </c>
      <c r="B2111" s="4" t="n"/>
      <c r="C2111" s="4" t="n"/>
      <c r="D2111" s="4" t="n"/>
      <c r="E2111" s="4" t="n"/>
      <c r="F2111" s="4" t="n"/>
      <c r="G2111" s="4" t="n"/>
    </row>
    <row r="2112" ht="25" customHeight="1">
      <c r="A2112" s="23" t="inlineStr">
        <is>
          <t>Исходная программа РКИОК ↗</t>
        </is>
      </c>
      <c r="D2112" s="23" t="inlineStr">
        <is>
          <t>Исходный УТП РКИОК ↗</t>
        </is>
      </c>
    </row>
    <row r="2113" ht="27" customHeight="1">
      <c r="A2113" s="24">
        <f>HYPERLINK("#'Выбор тем'!E"&amp;MATCH("T-8A655C52",'Выбор тем'!$A:$A,0),"← Вернуться к теме")</f>
        <v/>
      </c>
    </row>
    <row r="2115" ht="48" customHeight="1">
      <c r="A2115" s="18" t="inlineStr">
        <is>
          <t>Понятие аудита кибербезопасности, цели и задачи его проведения. Актуальность аудита, основные принципы и виды аудита кибербезопасности</t>
        </is>
      </c>
      <c r="B2115" s="19" t="n"/>
      <c r="C2115" s="19" t="n"/>
      <c r="D2115" s="19" t="n"/>
      <c r="E2115" s="19" t="n"/>
      <c r="F2115" s="19" t="n"/>
      <c r="G2115" s="19" t="n"/>
    </row>
    <row r="2116" ht="26" customHeight="1">
      <c r="A2116" s="3" t="inlineStr">
        <is>
          <t>T-7209DCF1 · Программы: АУРИК</t>
        </is>
      </c>
      <c r="B2116" s="4" t="n"/>
      <c r="C2116" s="4" t="n"/>
      <c r="D2116" s="4" t="n"/>
      <c r="E2116" s="4" t="n"/>
      <c r="F2116" s="4" t="n"/>
      <c r="G2116" s="4" t="n"/>
    </row>
    <row r="2117" ht="27" customHeight="1">
      <c r="A2117" s="20" t="inlineStr">
        <is>
          <t>Вариант для: АУРИК</t>
        </is>
      </c>
      <c r="B2117" s="21" t="n"/>
      <c r="C2117" s="21" t="n"/>
      <c r="D2117" s="21" t="n"/>
      <c r="E2117" s="21" t="n"/>
      <c r="F2117" s="21" t="n"/>
      <c r="G2117" s="21" t="n"/>
    </row>
    <row r="2118" ht="32" customHeight="1">
      <c r="A2118" s="22" t="inlineStr">
        <is>
          <t>Основные понятия и определения аудита кибербезопасности.</t>
        </is>
      </c>
      <c r="B2118" s="2" t="n"/>
      <c r="C2118" s="2" t="n"/>
      <c r="D2118" s="2" t="n"/>
      <c r="E2118" s="2" t="n"/>
      <c r="F2118" s="2" t="n"/>
      <c r="G2118" s="2" t="n"/>
    </row>
    <row r="2119" ht="32" customHeight="1">
      <c r="A2119" s="22" t="inlineStr">
        <is>
          <t>Цели, задачи и актуальность аудита кибербезопасности.</t>
        </is>
      </c>
      <c r="B2119" s="2" t="n"/>
      <c r="C2119" s="2" t="n"/>
      <c r="D2119" s="2" t="n"/>
      <c r="E2119" s="2" t="n"/>
      <c r="F2119" s="2" t="n"/>
      <c r="G2119" s="2" t="n"/>
    </row>
    <row r="2120" ht="48" customHeight="1">
      <c r="A2120" s="22" t="inlineStr">
        <is>
          <t>Основные принципы аудита кибербезопасности. Независимость аудита. Полнота аудита. Оценка на основе свидетельств аудита. Необходимость понимания аудитором деятельности проверяемой организации. Компетентность и беспристрастность.</t>
        </is>
      </c>
      <c r="B2120" s="2" t="n"/>
      <c r="C2120" s="2" t="n"/>
      <c r="D2120" s="2" t="n"/>
      <c r="E2120" s="2" t="n"/>
      <c r="F2120" s="2" t="n"/>
      <c r="G2120" s="2" t="n"/>
    </row>
    <row r="2121" ht="32" customHeight="1">
      <c r="A2121" s="22" t="inlineStr">
        <is>
          <t>Виды аудита кибербезопасности.</t>
        </is>
      </c>
      <c r="B2121" s="2" t="n"/>
      <c r="C2121" s="2" t="n"/>
      <c r="D2121" s="2" t="n"/>
      <c r="E2121" s="2" t="n"/>
      <c r="F2121" s="2" t="n"/>
      <c r="G2121" s="2" t="n"/>
    </row>
    <row r="2122" ht="51" customHeight="1">
      <c r="A2122" s="3" t="inlineStr">
        <is>
          <t>АУРИК — Аудит, управление рисками и инцидентами кибербезопасности
Раздел: Аудит кибербезопасности · УТП: таблица 2, строка 19</t>
        </is>
      </c>
      <c r="B2122" s="4" t="n"/>
      <c r="C2122" s="4" t="n"/>
      <c r="D2122" s="4" t="n"/>
      <c r="E2122" s="4" t="n"/>
      <c r="F2122" s="4" t="n"/>
      <c r="G2122" s="4" t="n"/>
    </row>
    <row r="2123" ht="46" customHeight="1">
      <c r="A2123" s="3" t="inlineStr">
        <is>
          <t>В программе: Тема 1. Понятие аудита кибербезопасности, цели и задачи его проведения. Актуальность аудита, основные принципы и виды аудита кибербезопасности (3 часа лекции, 1 час круглый стол).</t>
        </is>
      </c>
      <c r="B2123" s="4" t="n"/>
      <c r="C2123" s="4" t="n"/>
      <c r="D2123" s="4" t="n"/>
      <c r="E2123" s="4" t="n"/>
      <c r="F2123" s="4" t="n"/>
      <c r="G2123" s="4" t="n"/>
    </row>
    <row r="2124" ht="25" customHeight="1">
      <c r="A2124" s="23" t="inlineStr">
        <is>
          <t>Исходная программа АУРИК ↗</t>
        </is>
      </c>
      <c r="D2124" s="23" t="inlineStr">
        <is>
          <t>Исходный УТП АУРИК ↗</t>
        </is>
      </c>
    </row>
    <row r="2125" ht="27" customHeight="1">
      <c r="A2125" s="24">
        <f>HYPERLINK("#'Выбор тем'!E"&amp;MATCH("T-7209DCF1",'Выбор тем'!$A:$A,0),"← Вернуться к теме")</f>
        <v/>
      </c>
    </row>
    <row r="2127" ht="38" customHeight="1">
      <c r="A2127" s="18" t="inlineStr">
        <is>
          <t>Понятие пилотного проекта в сфере цифрового развития</t>
        </is>
      </c>
      <c r="B2127" s="19" t="n"/>
      <c r="C2127" s="19" t="n"/>
      <c r="D2127" s="19" t="n"/>
      <c r="E2127" s="19" t="n"/>
      <c r="F2127" s="19" t="n"/>
      <c r="G2127" s="19" t="n"/>
    </row>
    <row r="2128" ht="26" customHeight="1">
      <c r="A2128" s="3" t="inlineStr">
        <is>
          <t>T-6261BCD8 · Программы: ЦТГУ</t>
        </is>
      </c>
      <c r="B2128" s="4" t="n"/>
      <c r="C2128" s="4" t="n"/>
      <c r="D2128" s="4" t="n"/>
      <c r="E2128" s="4" t="n"/>
      <c r="F2128" s="4" t="n"/>
      <c r="G2128" s="4" t="n"/>
    </row>
    <row r="2129" ht="27" customHeight="1">
      <c r="A2129" s="20" t="inlineStr">
        <is>
          <t>Вариант для: ЦТГУ</t>
        </is>
      </c>
      <c r="B2129" s="21" t="n"/>
      <c r="C2129" s="21" t="n"/>
      <c r="D2129" s="21" t="n"/>
      <c r="E2129" s="21" t="n"/>
      <c r="F2129" s="21" t="n"/>
      <c r="G2129" s="21" t="n"/>
    </row>
    <row r="2130" ht="80" customHeight="1">
      <c r="A2130" s="22" t="inlineStr">
        <is>
          <t>Определение пилотного проекта в сфере цифрового развития и особенности его финансирования и реализации. Приоритетные (тематические) направления реализации пилотных проектов в сфере цифрового развития. Основные субъекты, участвующие в реализации пилотных проектов в сфере цифрового развития, на общегосударственном, отраслевом (ведомственном) и местном уровнях. Субъекты, непосредственно участвующие в реализации пилотного проекта в сфере цифрового развития.</t>
        </is>
      </c>
      <c r="B2130" s="2" t="n"/>
      <c r="C2130" s="2" t="n"/>
      <c r="D2130" s="2" t="n"/>
      <c r="E2130" s="2" t="n"/>
      <c r="F2130" s="2" t="n"/>
      <c r="G2130" s="2" t="n"/>
    </row>
    <row r="2131" ht="51" customHeight="1">
      <c r="A2131" s="3" t="inlineStr">
        <is>
          <t>ЦТГУ — Цифровая трансформация государственного управления
Раздел: Пилотный проект в сфере цифрового развития как способ реализации цифровой трансформации государственного управления · УТП: таблица 2, строка 24</t>
        </is>
      </c>
      <c r="B2131" s="4" t="n"/>
      <c r="C2131" s="4" t="n"/>
      <c r="D2131" s="4" t="n"/>
      <c r="E2131" s="4" t="n"/>
      <c r="F2131" s="4" t="n"/>
      <c r="G2131" s="4" t="n"/>
    </row>
    <row r="2132" ht="30" customHeight="1">
      <c r="A2132" s="3" t="inlineStr">
        <is>
          <t>В программе: Тема 1. Понятие пилотного проекта в сфере цифрового развития (2 часа лекции).</t>
        </is>
      </c>
      <c r="B2132" s="4" t="n"/>
      <c r="C2132" s="4" t="n"/>
      <c r="D2132" s="4" t="n"/>
      <c r="E2132" s="4" t="n"/>
      <c r="F2132" s="4" t="n"/>
      <c r="G2132" s="4" t="n"/>
    </row>
    <row r="2133" ht="25" customHeight="1">
      <c r="A2133" s="23" t="inlineStr">
        <is>
          <t>Исходная программа ЦТГУ ↗</t>
        </is>
      </c>
      <c r="D2133" s="23" t="inlineStr">
        <is>
          <t>Исходный УТП ЦТГУ ↗</t>
        </is>
      </c>
    </row>
    <row r="2134" ht="27" customHeight="1">
      <c r="A2134" s="24">
        <f>HYPERLINK("#'Выбор тем'!E"&amp;MATCH("T-6261BCD8",'Выбор тем'!$A:$A,0),"← Вернуться к теме")</f>
        <v/>
      </c>
    </row>
    <row r="2136" ht="38" customHeight="1">
      <c r="A2136" s="18" t="inlineStr">
        <is>
          <t>Порядок регистрации КИ. Порядок взаимодействия центра кибербезопасности с национальным центром кибербезопасности</t>
        </is>
      </c>
      <c r="B2136" s="19" t="n"/>
      <c r="C2136" s="19" t="n"/>
      <c r="D2136" s="19" t="n"/>
      <c r="E2136" s="19" t="n"/>
      <c r="F2136" s="19" t="n"/>
      <c r="G2136" s="19" t="n"/>
    </row>
    <row r="2137" ht="26" customHeight="1">
      <c r="A2137" s="3" t="inlineStr">
        <is>
          <t>T-D16425D5 · Программы: ОКБО</t>
        </is>
      </c>
      <c r="B2137" s="4" t="n"/>
      <c r="C2137" s="4" t="n"/>
      <c r="D2137" s="4" t="n"/>
      <c r="E2137" s="4" t="n"/>
      <c r="F2137" s="4" t="n"/>
      <c r="G2137" s="4" t="n"/>
    </row>
    <row r="2138" ht="27" customHeight="1">
      <c r="A2138" s="20" t="inlineStr">
        <is>
          <t>Вариант для: ОКБО</t>
        </is>
      </c>
      <c r="B2138" s="21" t="n"/>
      <c r="C2138" s="21" t="n"/>
      <c r="D2138" s="21" t="n"/>
      <c r="E2138" s="21" t="n"/>
      <c r="F2138" s="21" t="n"/>
      <c r="G2138" s="21" t="n"/>
    </row>
    <row r="2139" ht="32" customHeight="1">
      <c r="A2139" s="22" t="inlineStr">
        <is>
          <t>Обзор системы учета КИ (Nexus).</t>
        </is>
      </c>
      <c r="B2139" s="2" t="n"/>
      <c r="C2139" s="2" t="n"/>
      <c r="D2139" s="2" t="n"/>
      <c r="E2139" s="2" t="n"/>
      <c r="F2139" s="2" t="n"/>
      <c r="G2139" s="2" t="n"/>
    </row>
    <row r="2140" ht="48" customHeight="1">
      <c r="A2140" s="22" t="inlineStr">
        <is>
          <t>Порядок регистрации КИ, практическая отработка процесса заведения карточки КИ в системе учета с присвоением уникального идентификатора и указанием технических параметров КИ (в соответствии с перечнем, указанным в Приказе ОАЦ).</t>
        </is>
      </c>
      <c r="B2140" s="2" t="n"/>
      <c r="C2140" s="2" t="n"/>
      <c r="D2140" s="2" t="n"/>
      <c r="E2140" s="2" t="n"/>
      <c r="F2140" s="2" t="n"/>
      <c r="G2140" s="2" t="n"/>
    </row>
    <row r="2141" ht="32" customHeight="1">
      <c r="A2141" s="22" t="inlineStr">
        <is>
          <t>Порядок определения уровня КИ (высокий/низкий).</t>
        </is>
      </c>
      <c r="B2141" s="2" t="n"/>
      <c r="C2141" s="2" t="n"/>
      <c r="D2141" s="2" t="n"/>
      <c r="E2141" s="2" t="n"/>
      <c r="F2141" s="2" t="n"/>
      <c r="G2141" s="2" t="n"/>
    </row>
    <row r="2142" ht="48" customHeight="1">
      <c r="A2142" s="22" t="inlineStr">
        <is>
          <t>Порядок взаимодействия с национальным центром кибербезопасности по вопросам предоставления сведений о КИ высокого уровня для их внесения в общереспубликанскую базу данных о КИ, в том числе с использованием автоматизированных систем взаимодействия.</t>
        </is>
      </c>
      <c r="B2142" s="2" t="n"/>
      <c r="C2142" s="2" t="n"/>
      <c r="D2142" s="2" t="n"/>
      <c r="E2142" s="2" t="n"/>
      <c r="F2142" s="2" t="n"/>
      <c r="G2142" s="2" t="n"/>
    </row>
    <row r="2143" ht="51" customHeight="1">
      <c r="A2143"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32</t>
        </is>
      </c>
      <c r="B2143" s="4" t="n"/>
      <c r="C2143" s="4" t="n"/>
      <c r="D2143" s="4" t="n"/>
      <c r="E2143" s="4" t="n"/>
      <c r="F2143" s="4" t="n"/>
      <c r="G2143" s="4" t="n"/>
    </row>
    <row r="2144" ht="30" customHeight="1">
      <c r="A2144" s="3" t="inlineStr">
        <is>
          <t>В программе: Тема 6. Порядок регистрации КИ. Порядок взаимодействия центра кибербезопасности с национальным центром кибербезопасности (1 час лекции).</t>
        </is>
      </c>
      <c r="B2144" s="4" t="n"/>
      <c r="C2144" s="4" t="n"/>
      <c r="D2144" s="4" t="n"/>
      <c r="E2144" s="4" t="n"/>
      <c r="F2144" s="4" t="n"/>
      <c r="G2144" s="4" t="n"/>
    </row>
    <row r="2145" ht="25" customHeight="1">
      <c r="A2145" s="23" t="inlineStr">
        <is>
          <t>Исходная программа ОКБО ↗</t>
        </is>
      </c>
      <c r="D2145" s="23" t="inlineStr">
        <is>
          <t>Исходный УТП ОКБО ↗</t>
        </is>
      </c>
    </row>
    <row r="2146" ht="27" customHeight="1">
      <c r="A2146" s="24">
        <f>HYPERLINK("#'Выбор тем'!E"&amp;MATCH("T-D16425D5",'Выбор тем'!$A:$A,0),"← Вернуться к теме")</f>
        <v/>
      </c>
    </row>
    <row r="2148" ht="38" customHeight="1">
      <c r="A2148" s="18" t="inlineStr">
        <is>
          <t>Построение матрицы рисков и разработка политики безопасности</t>
        </is>
      </c>
      <c r="B2148" s="19" t="n"/>
      <c r="C2148" s="19" t="n"/>
      <c r="D2148" s="19" t="n"/>
      <c r="E2148" s="19" t="n"/>
      <c r="F2148" s="19" t="n"/>
      <c r="G2148" s="19" t="n"/>
    </row>
    <row r="2149" ht="26" customHeight="1">
      <c r="A2149" s="3" t="inlineStr">
        <is>
          <t>T-162738D1 · Программы: РКИОК</t>
        </is>
      </c>
      <c r="B2149" s="4" t="n"/>
      <c r="C2149" s="4" t="n"/>
      <c r="D2149" s="4" t="n"/>
      <c r="E2149" s="4" t="n"/>
      <c r="F2149" s="4" t="n"/>
      <c r="G2149" s="4" t="n"/>
    </row>
    <row r="2150" ht="27" customHeight="1">
      <c r="A2150" s="20" t="inlineStr">
        <is>
          <t>Вариант для: РКИОК</t>
        </is>
      </c>
      <c r="B2150" s="21" t="n"/>
      <c r="C2150" s="21" t="n"/>
      <c r="D2150" s="21" t="n"/>
      <c r="E2150" s="21" t="n"/>
      <c r="F2150" s="21" t="n"/>
      <c r="G2150" s="21" t="n"/>
    </row>
    <row r="2151" ht="48" customHeight="1">
      <c r="A2151" s="22" t="inlineStr">
        <is>
          <t>Составление матрицы рисков: вероятности, последствия, уровень риска. Связь результатов анализа рисков с формулировкой политики. Практические навыки документирования требований безопасности.</t>
        </is>
      </c>
      <c r="B2151" s="2" t="n"/>
      <c r="C2151" s="2" t="n"/>
      <c r="D2151" s="2" t="n"/>
      <c r="E2151" s="2" t="n"/>
      <c r="F2151" s="2" t="n"/>
      <c r="G2151" s="2" t="n"/>
    </row>
    <row r="2152" ht="51" customHeight="1">
      <c r="A2152" s="3" t="inlineStr">
        <is>
          <t>РКИОК — Реагирование на киберинциденты и отражение кибератак
Раздел: Управление информационной безопасностью · УТП: таблица 2, строка 13</t>
        </is>
      </c>
      <c r="B2152" s="4" t="n"/>
      <c r="C2152" s="4" t="n"/>
      <c r="D2152" s="4" t="n"/>
      <c r="E2152" s="4" t="n"/>
      <c r="F2152" s="4" t="n"/>
      <c r="G2152" s="4" t="n"/>
    </row>
    <row r="2153" ht="30" customHeight="1">
      <c r="A2153" s="3" t="inlineStr">
        <is>
          <t>В программе: Тема 3. Построение матрицы рисков и разработка политики безопасности (2 часа практические занятия).</t>
        </is>
      </c>
      <c r="B2153" s="4" t="n"/>
      <c r="C2153" s="4" t="n"/>
      <c r="D2153" s="4" t="n"/>
      <c r="E2153" s="4" t="n"/>
      <c r="F2153" s="4" t="n"/>
      <c r="G2153" s="4" t="n"/>
    </row>
    <row r="2154" ht="25" customHeight="1">
      <c r="A2154" s="23" t="inlineStr">
        <is>
          <t>Исходная программа РКИОК ↗</t>
        </is>
      </c>
      <c r="D2154" s="23" t="inlineStr">
        <is>
          <t>Исходный УТП РКИОК ↗</t>
        </is>
      </c>
    </row>
    <row r="2155" ht="27" customHeight="1">
      <c r="A2155" s="24">
        <f>HYPERLINK("#'Выбор тем'!E"&amp;MATCH("T-162738D1",'Выбор тем'!$A:$A,0),"← Вернуться к теме")</f>
        <v/>
      </c>
    </row>
    <row r="2157" ht="38" customHeight="1">
      <c r="A2157" s="18" t="inlineStr">
        <is>
          <t>Практические аспекты аттестации систем защиты информации</t>
        </is>
      </c>
      <c r="B2157" s="19" t="n"/>
      <c r="C2157" s="19" t="n"/>
      <c r="D2157" s="19" t="n"/>
      <c r="E2157" s="19" t="n"/>
      <c r="F2157" s="19" t="n"/>
      <c r="G2157" s="19" t="n"/>
    </row>
    <row r="2158" ht="26" customHeight="1">
      <c r="A2158" s="3" t="inlineStr">
        <is>
          <t>T-BE634D39 · Программы: АКБ, АУРИК</t>
        </is>
      </c>
      <c r="B2158" s="4" t="n"/>
      <c r="C2158" s="4" t="n"/>
      <c r="D2158" s="4" t="n"/>
      <c r="E2158" s="4" t="n"/>
      <c r="F2158" s="4" t="n"/>
      <c r="G2158" s="4" t="n"/>
    </row>
    <row r="2159" ht="27" customHeight="1">
      <c r="A2159" s="20" t="inlineStr">
        <is>
          <t>Вариант для: АКБ, АУРИК</t>
        </is>
      </c>
      <c r="B2159" s="21" t="n"/>
      <c r="C2159" s="21" t="n"/>
      <c r="D2159" s="21" t="n"/>
      <c r="E2159" s="21" t="n"/>
      <c r="F2159" s="21" t="n"/>
      <c r="G2159" s="21" t="n"/>
    </row>
    <row r="2160" ht="112" customHeight="1">
      <c r="A2160"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 Проверка достаточности реализованных в системе защиты информации мер по защите информации, в том числе: 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 проведение испытаний системы</t>
        </is>
      </c>
      <c r="B2160" s="2" t="n"/>
      <c r="C2160" s="2" t="n"/>
      <c r="D2160" s="2" t="n"/>
      <c r="E2160" s="2" t="n"/>
      <c r="F2160" s="2" t="n"/>
      <c r="G2160" s="2" t="n"/>
    </row>
    <row r="2161" ht="96" customHeight="1">
      <c r="A2161" s="22" t="inlineStr">
        <is>
          <t>защиты информации на предмет выполнения установленных законодательством требований по защите информации; 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 оценка эффективности защищенности информационной системы классов «3-бг» и (или) «3-дсп» (тестирование на проникновение). Оформление технического отчета и протокола испытаний. Оформление аттестата соответствия.</t>
        </is>
      </c>
      <c r="B2161" s="2" t="n"/>
      <c r="C2161" s="2" t="n"/>
      <c r="D2161" s="2" t="n"/>
      <c r="E2161" s="2" t="n"/>
      <c r="F2161" s="2" t="n"/>
      <c r="G2161" s="2" t="n"/>
    </row>
    <row r="2162" ht="51" customHeight="1">
      <c r="A2162" s="3" t="inlineStr">
        <is>
          <t>АКБ — Администратор кибербезопасности
Раздел: Практические аспекты обеспечения кибербезопасности · УТП: таблица 2, строка 15</t>
        </is>
      </c>
      <c r="B2162" s="4" t="n"/>
      <c r="C2162" s="4" t="n"/>
      <c r="D2162" s="4" t="n"/>
      <c r="E2162" s="4" t="n"/>
      <c r="F2162" s="4" t="n"/>
      <c r="G2162" s="4" t="n"/>
    </row>
    <row r="2163" ht="30" customHeight="1">
      <c r="A2163" s="3" t="inlineStr">
        <is>
          <t>В программе: Тема 4. Практические аспекты аттестации систем защиты информации (1 час лекции, 3 часа практические занятия).</t>
        </is>
      </c>
      <c r="B2163" s="4" t="n"/>
      <c r="C2163" s="4" t="n"/>
      <c r="D2163" s="4" t="n"/>
      <c r="E2163" s="4" t="n"/>
      <c r="F2163" s="4" t="n"/>
      <c r="G2163" s="4" t="n"/>
    </row>
    <row r="2164" ht="25" customHeight="1">
      <c r="A2164" s="23" t="inlineStr">
        <is>
          <t>Исходная программа АКБ ↗</t>
        </is>
      </c>
      <c r="D2164" s="23" t="inlineStr">
        <is>
          <t>Исходный УТП АКБ ↗</t>
        </is>
      </c>
    </row>
    <row r="2165" ht="51" customHeight="1">
      <c r="A2165"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13</t>
        </is>
      </c>
      <c r="B2165" s="4" t="n"/>
      <c r="C2165" s="4" t="n"/>
      <c r="D2165" s="4" t="n"/>
      <c r="E2165" s="4" t="n"/>
      <c r="F2165" s="4" t="n"/>
      <c r="G2165" s="4" t="n"/>
    </row>
    <row r="2166" ht="30" customHeight="1">
      <c r="A2166" s="3" t="inlineStr">
        <is>
          <t>В программе: Тема 5. Практические аспекты аттестации систем защиты информации (2 часа лекции, 2 часа круглый стол).</t>
        </is>
      </c>
      <c r="B2166" s="4" t="n"/>
      <c r="C2166" s="4" t="n"/>
      <c r="D2166" s="4" t="n"/>
      <c r="E2166" s="4" t="n"/>
      <c r="F2166" s="4" t="n"/>
      <c r="G2166" s="4" t="n"/>
    </row>
    <row r="2167" ht="25" customHeight="1">
      <c r="A2167" s="23" t="inlineStr">
        <is>
          <t>Исходная программа АУРИК ↗</t>
        </is>
      </c>
      <c r="D2167" s="23" t="inlineStr">
        <is>
          <t>Исходный УТП АУРИК ↗</t>
        </is>
      </c>
    </row>
    <row r="2168" ht="27" customHeight="1">
      <c r="A2168" s="24">
        <f>HYPERLINK("#'Выбор тем'!E"&amp;MATCH("T-BE634D39",'Выбор тем'!$A:$A,0),"← Вернуться к теме")</f>
        <v/>
      </c>
    </row>
    <row r="2170" ht="38" customHeight="1">
      <c r="A2170" s="18" t="inlineStr">
        <is>
          <t>Презентация и защита проектного решения</t>
        </is>
      </c>
      <c r="B2170" s="19" t="n"/>
      <c r="C2170" s="19" t="n"/>
      <c r="D2170" s="19" t="n"/>
      <c r="E2170" s="19" t="n"/>
      <c r="F2170" s="19" t="n"/>
      <c r="G2170" s="19" t="n"/>
    </row>
    <row r="2171" ht="26" customHeight="1">
      <c r="A2171" s="3" t="inlineStr">
        <is>
          <t>T-4F3C56FD · Программы: ЦТГУ</t>
        </is>
      </c>
      <c r="B2171" s="4" t="n"/>
      <c r="C2171" s="4" t="n"/>
      <c r="D2171" s="4" t="n"/>
      <c r="E2171" s="4" t="n"/>
      <c r="F2171" s="4" t="n"/>
      <c r="G2171" s="4" t="n"/>
    </row>
    <row r="2172" ht="27" customHeight="1">
      <c r="A2172" s="20" t="inlineStr">
        <is>
          <t>Вариант для: ЦТГУ</t>
        </is>
      </c>
      <c r="B2172" s="21" t="n"/>
      <c r="C2172" s="21" t="n"/>
      <c r="D2172" s="21" t="n"/>
      <c r="E2172" s="21" t="n"/>
      <c r="F2172" s="21" t="n"/>
      <c r="G2172" s="21" t="n"/>
    </row>
    <row r="2173" ht="48" customHeight="1">
      <c r="A2173" s="22" t="inlineStr">
        <is>
          <t>Структура защиты. Аргументация эффективности и соответствия государственным приоритетам. Риски и меры управления. Ответы на вопросы. Корректировка решения по итогам обсуждения.</t>
        </is>
      </c>
      <c r="B2173" s="2" t="n"/>
      <c r="C2173" s="2" t="n"/>
      <c r="D2173" s="2" t="n"/>
      <c r="E2173" s="2" t="n"/>
      <c r="F2173" s="2" t="n"/>
      <c r="G2173" s="2" t="n"/>
    </row>
    <row r="2174" ht="51" customHeight="1">
      <c r="A2174" s="3" t="inlineStr">
        <is>
          <t>ЦТГУ — Цифровая трансформация государственного управления
Раздел: Практический блок · УТП: таблица 2, строка 28</t>
        </is>
      </c>
      <c r="B2174" s="4" t="n"/>
      <c r="C2174" s="4" t="n"/>
      <c r="D2174" s="4" t="n"/>
      <c r="E2174" s="4" t="n"/>
      <c r="F2174" s="4" t="n"/>
      <c r="G2174" s="4" t="n"/>
    </row>
    <row r="2175" ht="30" customHeight="1">
      <c r="A2175" s="3" t="inlineStr">
        <is>
          <t>В программе: Тема 2. Презентация и защита проектного решения (4 часа практические занятия).</t>
        </is>
      </c>
      <c r="B2175" s="4" t="n"/>
      <c r="C2175" s="4" t="n"/>
      <c r="D2175" s="4" t="n"/>
      <c r="E2175" s="4" t="n"/>
      <c r="F2175" s="4" t="n"/>
      <c r="G2175" s="4" t="n"/>
    </row>
    <row r="2176" ht="25" customHeight="1">
      <c r="A2176" s="23" t="inlineStr">
        <is>
          <t>Исходная программа ЦТГУ ↗</t>
        </is>
      </c>
      <c r="D2176" s="23" t="inlineStr">
        <is>
          <t>Исходный УТП ЦТГУ ↗</t>
        </is>
      </c>
    </row>
    <row r="2177" ht="27" customHeight="1">
      <c r="A2177" s="24">
        <f>HYPERLINK("#'Выбор тем'!E"&amp;MATCH("T-4F3C56FD",'Выбор тем'!$A:$A,0),"← Вернуться к теме")</f>
        <v/>
      </c>
    </row>
    <row r="2179" ht="38" customHeight="1">
      <c r="A2179" s="18" t="inlineStr">
        <is>
          <t>Прикладные протоколы. DHCP. DNS. HTTP. SMTP. HTTPS. Установка и настройка серверов для работы по прикладным протоколам</t>
        </is>
      </c>
      <c r="B2179" s="19" t="n"/>
      <c r="C2179" s="19" t="n"/>
      <c r="D2179" s="19" t="n"/>
      <c r="E2179" s="19" t="n"/>
      <c r="F2179" s="19" t="n"/>
      <c r="G2179" s="19" t="n"/>
    </row>
    <row r="2180" ht="26" customHeight="1">
      <c r="A2180" s="3" t="inlineStr">
        <is>
          <t>T-8CD6AA88 · Программы: КО</t>
        </is>
      </c>
      <c r="B2180" s="4" t="n"/>
      <c r="C2180" s="4" t="n"/>
      <c r="D2180" s="4" t="n"/>
      <c r="E2180" s="4" t="n"/>
      <c r="F2180" s="4" t="n"/>
      <c r="G2180" s="4" t="n"/>
    </row>
    <row r="2181" ht="27" customHeight="1">
      <c r="A2181" s="20" t="inlineStr">
        <is>
          <t>Вариант для: КО</t>
        </is>
      </c>
      <c r="B2181" s="21" t="n"/>
      <c r="C2181" s="21" t="n"/>
      <c r="D2181" s="21" t="n"/>
      <c r="E2181" s="21" t="n"/>
      <c r="F2181" s="21" t="n"/>
      <c r="G2181" s="21" t="n"/>
    </row>
    <row r="2182" ht="48" customHeight="1">
      <c r="A2182" s="22" t="inlineStr">
        <is>
          <t>Протоколы загрузки и выгрузки файлов, а также представления информации (FTP, HTTP, HTTPS, DNS). Протоколы, обеспечивающие работу с электронной почтой (SMTP, IMAP, POP). Протоколы передачи настроек, команд и управления (DHCP, SSH, Telnet).</t>
        </is>
      </c>
      <c r="B2182" s="2" t="n"/>
      <c r="C2182" s="2" t="n"/>
      <c r="D2182" s="2" t="n"/>
      <c r="E2182" s="2" t="n"/>
      <c r="F2182" s="2" t="n"/>
      <c r="G2182" s="2" t="n"/>
    </row>
    <row r="2183" ht="51" customHeight="1">
      <c r="A2183" s="3" t="inlineStr">
        <is>
          <t>КО — Кибербезопасность государственных и иных организаций
Раздел: Меры по обеспечению кибербезопасности. · УТП: таблица 2, строка 18</t>
        </is>
      </c>
      <c r="B2183" s="4" t="n"/>
      <c r="C2183" s="4" t="n"/>
      <c r="D2183" s="4" t="n"/>
      <c r="E2183" s="4" t="n"/>
      <c r="F2183" s="4" t="n"/>
      <c r="G2183" s="4" t="n"/>
    </row>
    <row r="2184" ht="46" customHeight="1">
      <c r="A2184" s="3" t="inlineStr">
        <is>
          <t>В программе: Тема 6. Прикладные протоколы. DHCP. DNS. HTTP. SMTP. HTTPS. Установка и настройка серверов для работы по прикладным протоколам (4 часа практические занятия).</t>
        </is>
      </c>
      <c r="B2184" s="4" t="n"/>
      <c r="C2184" s="4" t="n"/>
      <c r="D2184" s="4" t="n"/>
      <c r="E2184" s="4" t="n"/>
      <c r="F2184" s="4" t="n"/>
      <c r="G2184" s="4" t="n"/>
    </row>
    <row r="2185" ht="25" customHeight="1">
      <c r="A2185" s="23" t="inlineStr">
        <is>
          <t>Исходная программа КО ↗</t>
        </is>
      </c>
      <c r="D2185" s="23" t="inlineStr">
        <is>
          <t>Исходный УТП КО ↗</t>
        </is>
      </c>
    </row>
    <row r="2186" ht="27" customHeight="1">
      <c r="A2186" s="24">
        <f>HYPERLINK("#'Выбор тем'!E"&amp;MATCH("T-8CD6AA88",'Выбор тем'!$A:$A,0),"← Вернуться к теме")</f>
        <v/>
      </c>
    </row>
    <row r="2188" ht="38" customHeight="1">
      <c r="A2188" s="18" t="inlineStr">
        <is>
          <t>Прикладные протоколы. Описание и применение прикладных протоколов</t>
        </is>
      </c>
      <c r="B2188" s="19" t="n"/>
      <c r="C2188" s="19" t="n"/>
      <c r="D2188" s="19" t="n"/>
      <c r="E2188" s="19" t="n"/>
      <c r="F2188" s="19" t="n"/>
      <c r="G2188" s="19" t="n"/>
    </row>
    <row r="2189" ht="26" customHeight="1">
      <c r="A2189" s="3" t="inlineStr">
        <is>
          <t>T-6DC0F613 · Программы: КО</t>
        </is>
      </c>
      <c r="B2189" s="4" t="n"/>
      <c r="C2189" s="4" t="n"/>
      <c r="D2189" s="4" t="n"/>
      <c r="E2189" s="4" t="n"/>
      <c r="F2189" s="4" t="n"/>
      <c r="G2189" s="4" t="n"/>
    </row>
    <row r="2190" ht="27" customHeight="1">
      <c r="A2190" s="20" t="inlineStr">
        <is>
          <t>Вариант для: КО</t>
        </is>
      </c>
      <c r="B2190" s="21" t="n"/>
      <c r="C2190" s="21" t="n"/>
      <c r="D2190" s="21" t="n"/>
      <c r="E2190" s="21" t="n"/>
      <c r="F2190" s="21" t="n"/>
      <c r="G2190" s="21" t="n"/>
    </row>
    <row r="2191" ht="48" customHeight="1">
      <c r="A2191" s="22" t="inlineStr">
        <is>
          <t>Протоколы прикладного уровня. Сервисы, работающие с ними. Назначение прикладных протоколов и их варианты. Общие принципы организации функционирования прикладных протоколов.</t>
        </is>
      </c>
      <c r="B2191" s="2" t="n"/>
      <c r="C2191" s="2" t="n"/>
      <c r="D2191" s="2" t="n"/>
      <c r="E2191" s="2" t="n"/>
      <c r="F2191" s="2" t="n"/>
      <c r="G2191" s="2" t="n"/>
    </row>
    <row r="2192" ht="51" customHeight="1">
      <c r="A2192" s="3" t="inlineStr">
        <is>
          <t>КО — Кибербезопасность государственных и иных организаций
Раздел: Меры по обеспечению кибербезопасности. · УТП: таблица 2, строка 17</t>
        </is>
      </c>
      <c r="B2192" s="4" t="n"/>
      <c r="C2192" s="4" t="n"/>
      <c r="D2192" s="4" t="n"/>
      <c r="E2192" s="4" t="n"/>
      <c r="F2192" s="4" t="n"/>
      <c r="G2192" s="4" t="n"/>
    </row>
    <row r="2193" ht="30" customHeight="1">
      <c r="A2193" s="3" t="inlineStr">
        <is>
          <t>В программе: Тема 5. Прикладные протоколы. Описание и применение прикладных протоколов (2 часа лекции).</t>
        </is>
      </c>
      <c r="B2193" s="4" t="n"/>
      <c r="C2193" s="4" t="n"/>
      <c r="D2193" s="4" t="n"/>
      <c r="E2193" s="4" t="n"/>
      <c r="F2193" s="4" t="n"/>
      <c r="G2193" s="4" t="n"/>
    </row>
    <row r="2194" ht="25" customHeight="1">
      <c r="A2194" s="23" t="inlineStr">
        <is>
          <t>Исходная программа КО ↗</t>
        </is>
      </c>
      <c r="D2194" s="23" t="inlineStr">
        <is>
          <t>Исходный УТП КО ↗</t>
        </is>
      </c>
    </row>
    <row r="2195" ht="27" customHeight="1">
      <c r="A2195" s="24">
        <f>HYPERLINK("#'Выбор тем'!E"&amp;MATCH("T-6DC0F613",'Выбор тем'!$A:$A,0),"← Вернуться к теме")</f>
        <v/>
      </c>
    </row>
    <row r="2197" ht="38" customHeight="1">
      <c r="A2197" s="18" t="inlineStr">
        <is>
          <t>Применение командной строки</t>
        </is>
      </c>
      <c r="B2197" s="19" t="n"/>
      <c r="C2197" s="19" t="n"/>
      <c r="D2197" s="19" t="n"/>
      <c r="E2197" s="19" t="n"/>
      <c r="F2197" s="19" t="n"/>
      <c r="G2197" s="19" t="n"/>
    </row>
    <row r="2198" ht="26" customHeight="1">
      <c r="A2198" s="3" t="inlineStr">
        <is>
          <t>T-77482F27 · Программы: БКТ</t>
        </is>
      </c>
      <c r="B2198" s="4" t="n"/>
      <c r="C2198" s="4" t="n"/>
      <c r="D2198" s="4" t="n"/>
      <c r="E2198" s="4" t="n"/>
      <c r="F2198" s="4" t="n"/>
      <c r="G2198" s="4" t="n"/>
    </row>
    <row r="2199" ht="27" customHeight="1">
      <c r="A2199" s="20" t="inlineStr">
        <is>
          <t>Вариант для: БКТ</t>
        </is>
      </c>
      <c r="B2199" s="21" t="n"/>
      <c r="C2199" s="21" t="n"/>
      <c r="D2199" s="21" t="n"/>
      <c r="E2199" s="21" t="n"/>
      <c r="F2199" s="21" t="n"/>
      <c r="G2199" s="21" t="n"/>
    </row>
    <row r="2200" ht="48" customHeight="1">
      <c r="A2200" s="22" t="inlineStr">
        <is>
          <t>Значение CLI в администрировании и контроле. Основные команды CMD и PowerShell для получения конфигурации системы, управления файлами, контроля служб, проверки сетевых параметров.</t>
        </is>
      </c>
      <c r="B2200" s="2" t="n"/>
      <c r="C2200" s="2" t="n"/>
      <c r="D2200" s="2" t="n"/>
      <c r="E2200" s="2" t="n"/>
      <c r="F2200" s="2" t="n"/>
      <c r="G2200" s="2" t="n"/>
    </row>
    <row r="2201" ht="48" customHeight="1">
      <c r="A2201" s="22" t="inlineStr">
        <is>
          <t>Базовые команды Linux: работа с файловой системой, правами доступа, журналами, процессами, системными утилитами. Использование командной строки для диагностики и анализа состояния инфраструктурных активов.</t>
        </is>
      </c>
      <c r="B2201" s="2" t="n"/>
      <c r="C2201" s="2" t="n"/>
      <c r="D2201" s="2" t="n"/>
      <c r="E2201" s="2" t="n"/>
      <c r="F2201" s="2" t="n"/>
      <c r="G2201" s="2" t="n"/>
    </row>
    <row r="2202" ht="51" customHeight="1">
      <c r="A2202" s="3" t="inlineStr">
        <is>
          <t>БКТ — Безопасность компьютерных технологий
Раздел: Практические аспекты обеспечения кибербезопасности · УТП: таблица 2, строка 23</t>
        </is>
      </c>
      <c r="B2202" s="4" t="n"/>
      <c r="C2202" s="4" t="n"/>
      <c r="D2202" s="4" t="n"/>
      <c r="E2202" s="4" t="n"/>
      <c r="F2202" s="4" t="n"/>
      <c r="G2202" s="4" t="n"/>
    </row>
    <row r="2203" ht="30" customHeight="1">
      <c r="A2203" s="3" t="inlineStr">
        <is>
          <t>В программе: Тема 9. Применение командной строки (4 часа практических занятий).</t>
        </is>
      </c>
      <c r="B2203" s="4" t="n"/>
      <c r="C2203" s="4" t="n"/>
      <c r="D2203" s="4" t="n"/>
      <c r="E2203" s="4" t="n"/>
      <c r="F2203" s="4" t="n"/>
      <c r="G2203" s="4" t="n"/>
    </row>
    <row r="2204" ht="25" customHeight="1">
      <c r="A2204" s="23" t="inlineStr">
        <is>
          <t>Исходная программа БКТ ↗</t>
        </is>
      </c>
      <c r="D2204" s="23" t="inlineStr">
        <is>
          <t>Исходный УТП БКТ ↗</t>
        </is>
      </c>
    </row>
    <row r="2205" ht="27" customHeight="1">
      <c r="A2205" s="24">
        <f>HYPERLINK("#'Выбор тем'!E"&amp;MATCH("T-77482F27",'Выбор тем'!$A:$A,0),"← Вернуться к теме")</f>
        <v/>
      </c>
    </row>
    <row r="2207" ht="38" customHeight="1">
      <c r="A2207" s="18" t="inlineStr">
        <is>
          <t>Применение машинного обучения в ИБ</t>
        </is>
      </c>
      <c r="B2207" s="19" t="n"/>
      <c r="C2207" s="19" t="n"/>
      <c r="D2207" s="19" t="n"/>
      <c r="E2207" s="19" t="n"/>
      <c r="F2207" s="19" t="n"/>
      <c r="G2207" s="19" t="n"/>
    </row>
    <row r="2208" ht="26" customHeight="1">
      <c r="A2208" s="3" t="inlineStr">
        <is>
          <t>T-A7827890 · Программы: ПТИИМ</t>
        </is>
      </c>
      <c r="B2208" s="4" t="n"/>
      <c r="C2208" s="4" t="n"/>
      <c r="D2208" s="4" t="n"/>
      <c r="E2208" s="4" t="n"/>
      <c r="F2208" s="4" t="n"/>
      <c r="G2208" s="4" t="n"/>
    </row>
    <row r="2209" ht="27" customHeight="1">
      <c r="A2209" s="20" t="inlineStr">
        <is>
          <t>Вариант для: ПТИИМ</t>
        </is>
      </c>
      <c r="B2209" s="21" t="n"/>
      <c r="C2209" s="21" t="n"/>
      <c r="D2209" s="21" t="n"/>
      <c r="E2209" s="21" t="n"/>
      <c r="F2209" s="21" t="n"/>
      <c r="G2209" s="21" t="n"/>
    </row>
    <row r="2210" ht="48" customHeight="1">
      <c r="A2210" s="22" t="inlineStr">
        <is>
          <t>Применение методов машинного обучения для анализа сетевого трафика и выявления признаков вредоносной активности. Подготовка и исследование данных о сетевых соединениях.</t>
        </is>
      </c>
      <c r="B2210" s="2" t="n"/>
      <c r="C2210" s="2" t="n"/>
      <c r="D2210" s="2" t="n"/>
      <c r="E2210" s="2" t="n"/>
      <c r="F2210" s="2" t="n"/>
      <c r="G2210" s="2" t="n"/>
    </row>
    <row r="2211" ht="48" customHeight="1">
      <c r="A2211" s="22" t="inlineStr">
        <is>
          <t>Использование машинного обучения в системах обнаружения и предотвращения вторжений (IDS/IPS). Классификация событий и выявление отклонений от нормального поведения.</t>
        </is>
      </c>
      <c r="B2211" s="2" t="n"/>
      <c r="C2211" s="2" t="n"/>
      <c r="D2211" s="2" t="n"/>
      <c r="E2211" s="2" t="n"/>
      <c r="F2211" s="2" t="n"/>
      <c r="G2211" s="2" t="n"/>
    </row>
    <row r="2212" ht="48" customHeight="1">
      <c r="A2212" s="22" t="inlineStr">
        <is>
          <t>Обнаружение вредоносного программного обеспечения на основе статического и поведенческого анализа. Формирование признаков файлов и процессов для последующей классификации.</t>
        </is>
      </c>
      <c r="B2212" s="2" t="n"/>
      <c r="C2212" s="2" t="n"/>
      <c r="D2212" s="2" t="n"/>
      <c r="E2212" s="2" t="n"/>
      <c r="F2212" s="2" t="n"/>
      <c r="G2212" s="2" t="n"/>
    </row>
    <row r="2213" ht="48" customHeight="1">
      <c r="A2213" s="22" t="inlineStr">
        <is>
          <t>Анализ поведения пользователей и объектов информационной инфраструктуры с использованием технологий UEBA. Построение поведенческих профилей и выявление нетипичной активности.</t>
        </is>
      </c>
      <c r="B2213" s="2" t="n"/>
      <c r="C2213" s="2" t="n"/>
      <c r="D2213" s="2" t="n"/>
      <c r="E2213" s="2" t="n"/>
      <c r="F2213" s="2" t="n"/>
      <c r="G2213" s="2" t="n"/>
    </row>
    <row r="2214" ht="32" customHeight="1">
      <c r="A2214" s="22" t="inlineStr">
        <is>
          <t>Применение машинного обучения для выявления инсайдерских угроз и распознавания подозрительных поведенческих паттернов.</t>
        </is>
      </c>
      <c r="B2214" s="2" t="n"/>
      <c r="C2214" s="2" t="n"/>
      <c r="D2214" s="2" t="n"/>
      <c r="E2214" s="2" t="n"/>
      <c r="F2214" s="2" t="n"/>
      <c r="G2214" s="2" t="n"/>
    </row>
    <row r="2215" ht="32" customHeight="1">
      <c r="A2215" s="22" t="inlineStr">
        <is>
          <t>Использование ИИ-инструментов при обнаружении атак и расследовании инцидентов информационной безопасности.</t>
        </is>
      </c>
      <c r="B2215" s="2" t="n"/>
      <c r="C2215" s="2" t="n"/>
      <c r="D2215" s="2" t="n"/>
      <c r="E2215" s="2" t="n"/>
      <c r="F2215" s="2" t="n"/>
      <c r="G2215" s="2" t="n"/>
    </row>
    <row r="2216" ht="48" customHeight="1">
      <c r="A2216" s="22" t="inlineStr">
        <is>
          <t>Машинное обучение в деятельности центра обеспечения кибербезопасности. Автоматизация первичной обработки, приоритизации и распределения событий и инцидентов.</t>
        </is>
      </c>
      <c r="B2216" s="2" t="n"/>
      <c r="C2216" s="2" t="n"/>
      <c r="D2216" s="2" t="n"/>
      <c r="E2216" s="2" t="n"/>
      <c r="F2216" s="2" t="n"/>
      <c r="G2216" s="2" t="n"/>
    </row>
    <row r="2217" ht="51" customHeight="1">
      <c r="A2217" s="3" t="inlineStr">
        <is>
          <t>ПТИИМ — Применение технологий искусственного интеллекта и машинного обучения в информационной и кибербезопасности
Раздел: Применение ИИ в ИБ · УТП: таблица 2, строка 15</t>
        </is>
      </c>
      <c r="B2217" s="4" t="n"/>
      <c r="C2217" s="4" t="n"/>
      <c r="D2217" s="4" t="n"/>
      <c r="E2217" s="4" t="n"/>
      <c r="F2217" s="4" t="n"/>
      <c r="G2217" s="4" t="n"/>
    </row>
    <row r="2218" ht="30" customHeight="1">
      <c r="A2218" s="3" t="inlineStr">
        <is>
          <t>В программе: Тема 1. Применение машинного обучения в ИБ (4 часа практические занятия).</t>
        </is>
      </c>
      <c r="B2218" s="4" t="n"/>
      <c r="C2218" s="4" t="n"/>
      <c r="D2218" s="4" t="n"/>
      <c r="E2218" s="4" t="n"/>
      <c r="F2218" s="4" t="n"/>
      <c r="G2218" s="4" t="n"/>
    </row>
    <row r="2219" ht="25" customHeight="1">
      <c r="A2219" s="23" t="inlineStr">
        <is>
          <t>Исходная программа ПТИИМ ↗</t>
        </is>
      </c>
      <c r="D2219" s="23" t="inlineStr">
        <is>
          <t>Исходный УТП ПТИИМ ↗</t>
        </is>
      </c>
    </row>
    <row r="2220" ht="27" customHeight="1">
      <c r="A2220" s="24">
        <f>HYPERLINK("#'Выбор тем'!E"&amp;MATCH("T-A7827890",'Выбор тем'!$A:$A,0),"← Вернуться к теме")</f>
        <v/>
      </c>
    </row>
    <row r="2222" ht="38" customHeight="1">
      <c r="A2222" s="18" t="inlineStr">
        <is>
          <t>Принципы работы и защиты NGFW</t>
        </is>
      </c>
      <c r="B2222" s="19" t="n"/>
      <c r="C2222" s="19" t="n"/>
      <c r="D2222" s="19" t="n"/>
      <c r="E2222" s="19" t="n"/>
      <c r="F2222" s="19" t="n"/>
      <c r="G2222" s="19" t="n"/>
    </row>
    <row r="2223" ht="26" customHeight="1">
      <c r="A2223" s="3" t="inlineStr">
        <is>
          <t>T-A91970F7 · Программы: РКИОК</t>
        </is>
      </c>
      <c r="B2223" s="4" t="n"/>
      <c r="C2223" s="4" t="n"/>
      <c r="D2223" s="4" t="n"/>
      <c r="E2223" s="4" t="n"/>
      <c r="F2223" s="4" t="n"/>
      <c r="G2223" s="4" t="n"/>
    </row>
    <row r="2224" ht="27" customHeight="1">
      <c r="A2224" s="20" t="inlineStr">
        <is>
          <t>Вариант для: РКИОК</t>
        </is>
      </c>
      <c r="B2224" s="21" t="n"/>
      <c r="C2224" s="21" t="n"/>
      <c r="D2224" s="21" t="n"/>
      <c r="E2224" s="21" t="n"/>
      <c r="F2224" s="21" t="n"/>
      <c r="G2224" s="21" t="n"/>
    </row>
    <row r="2225" ht="48" customHeight="1">
      <c r="A2225" s="22" t="inlineStr">
        <is>
          <t>Функции NGFW: контроль приложений, глубокая фильтрация пакетов. Использование интегрированного IPS и анализа трафика. Рекомендации по размещению и настройке межсетевых экранов нового поколения.</t>
        </is>
      </c>
      <c r="B2225" s="2" t="n"/>
      <c r="C2225" s="2" t="n"/>
      <c r="D2225" s="2" t="n"/>
      <c r="E2225" s="2" t="n"/>
      <c r="F2225" s="2" t="n"/>
      <c r="G2225" s="2" t="n"/>
    </row>
    <row r="2226" ht="51" customHeight="1">
      <c r="A2226" s="3" t="inlineStr">
        <is>
          <t>РКИОК — Реагирование на киберинциденты и отражение кибератак
Раздел: Сбор данных и предотвращение атак · УТП: таблица 2, строка 17</t>
        </is>
      </c>
      <c r="B2226" s="4" t="n"/>
      <c r="C2226" s="4" t="n"/>
      <c r="D2226" s="4" t="n"/>
      <c r="E2226" s="4" t="n"/>
      <c r="F2226" s="4" t="n"/>
      <c r="G2226" s="4" t="n"/>
    </row>
    <row r="2227" ht="30" customHeight="1">
      <c r="A2227" s="3" t="inlineStr">
        <is>
          <t>В программе: Тема 3. Принципы работы и защиты NGFW (1 час лекции).</t>
        </is>
      </c>
      <c r="B2227" s="4" t="n"/>
      <c r="C2227" s="4" t="n"/>
      <c r="D2227" s="4" t="n"/>
      <c r="E2227" s="4" t="n"/>
      <c r="F2227" s="4" t="n"/>
      <c r="G2227" s="4" t="n"/>
    </row>
    <row r="2228" ht="25" customHeight="1">
      <c r="A2228" s="23" t="inlineStr">
        <is>
          <t>Исходная программа РКИОК ↗</t>
        </is>
      </c>
      <c r="D2228" s="23" t="inlineStr">
        <is>
          <t>Исходный УТП РКИОК ↗</t>
        </is>
      </c>
    </row>
    <row r="2229" ht="27" customHeight="1">
      <c r="A2229" s="24">
        <f>HYPERLINK("#'Выбор тем'!E"&amp;MATCH("T-A91970F7",'Выбор тем'!$A:$A,0),"← Вернуться к теме")</f>
        <v/>
      </c>
    </row>
    <row r="2231" ht="38" customHeight="1">
      <c r="A2231" s="18" t="inlineStr">
        <is>
          <t>Проведение оценки рисков кибербезопасности</t>
        </is>
      </c>
      <c r="B2231" s="19" t="n"/>
      <c r="C2231" s="19" t="n"/>
      <c r="D2231" s="19" t="n"/>
      <c r="E2231" s="19" t="n"/>
      <c r="F2231" s="19" t="n"/>
      <c r="G2231" s="19" t="n"/>
    </row>
    <row r="2232" ht="26" customHeight="1">
      <c r="A2232" s="3" t="inlineStr">
        <is>
          <t>T-AD42D9C6 · Программы: АУРИК</t>
        </is>
      </c>
      <c r="B2232" s="4" t="n"/>
      <c r="C2232" s="4" t="n"/>
      <c r="D2232" s="4" t="n"/>
      <c r="E2232" s="4" t="n"/>
      <c r="F2232" s="4" t="n"/>
      <c r="G2232" s="4" t="n"/>
    </row>
    <row r="2233" ht="27" customHeight="1">
      <c r="A2233" s="20" t="inlineStr">
        <is>
          <t>Вариант для: АУРИК</t>
        </is>
      </c>
      <c r="B2233" s="21" t="n"/>
      <c r="C2233" s="21" t="n"/>
      <c r="D2233" s="21" t="n"/>
      <c r="E2233" s="21" t="n"/>
      <c r="F2233" s="21" t="n"/>
      <c r="G2233" s="21" t="n"/>
    </row>
    <row r="2234" ht="31" customHeight="1">
      <c r="A2234" s="25" t="inlineStr">
        <is>
          <t>Названия в УТП и программе различаются; ниже приведён фактический текст соответствующего раздела программы.</t>
        </is>
      </c>
      <c r="B2234" s="26" t="n"/>
      <c r="C2234" s="26" t="n"/>
      <c r="D2234" s="26" t="n"/>
      <c r="E2234" s="26" t="n"/>
      <c r="F2234" s="26" t="n"/>
      <c r="G2234" s="26" t="n"/>
    </row>
    <row r="2235" ht="32" customHeight="1">
      <c r="A2235" s="22" t="inlineStr">
        <is>
          <t>Практические аспекты внедрения процесса управления рисками кибербезопасности.</t>
        </is>
      </c>
      <c r="B2235" s="2" t="n"/>
      <c r="C2235" s="2" t="n"/>
      <c r="D2235" s="2" t="n"/>
      <c r="E2235" s="2" t="n"/>
      <c r="F2235" s="2" t="n"/>
      <c r="G2235" s="2" t="n"/>
    </row>
    <row r="2236" ht="32" customHeight="1">
      <c r="A2236" s="22" t="inlineStr">
        <is>
          <t>Идентификация активов и оценка ценности активов. Разработка реестра активов.</t>
        </is>
      </c>
      <c r="B2236" s="2" t="n"/>
      <c r="C2236" s="2" t="n"/>
      <c r="D2236" s="2" t="n"/>
      <c r="E2236" s="2" t="n"/>
      <c r="F2236" s="2" t="n"/>
      <c r="G2236" s="2" t="n"/>
    </row>
    <row r="2237" ht="32" customHeight="1">
      <c r="A2237" s="22" t="inlineStr">
        <is>
          <t>Идентификация источников угроз и уязвимостей. Описание источников угроз. Описание сценариев угроз.</t>
        </is>
      </c>
      <c r="B2237" s="2" t="n"/>
      <c r="C2237" s="2" t="n"/>
      <c r="D2237" s="2" t="n"/>
      <c r="E2237" s="2" t="n"/>
      <c r="F2237" s="2" t="n"/>
      <c r="G2237" s="2" t="n"/>
    </row>
    <row r="2238" ht="48" customHeight="1">
      <c r="A2238" s="22" t="inlineStr">
        <is>
          <t>Определение уровня риска. Определение возможности возникновения угрозы. Определение вероятности реализации сценария. Определение значений возможного ущерба. Определение значений уровней рисков. Разработка каталога угроз и уязвимостей.</t>
        </is>
      </c>
      <c r="B2238" s="2" t="n"/>
      <c r="C2238" s="2" t="n"/>
      <c r="D2238" s="2" t="n"/>
      <c r="E2238" s="2" t="n"/>
      <c r="F2238" s="2" t="n"/>
      <c r="G2238" s="2" t="n"/>
    </row>
    <row r="2239" ht="32" customHeight="1">
      <c r="A2239" s="22" t="inlineStr">
        <is>
          <t>Оформление отчёта по результатам оценки рисков.</t>
        </is>
      </c>
      <c r="B2239" s="2" t="n"/>
      <c r="C2239" s="2" t="n"/>
      <c r="D2239" s="2" t="n"/>
      <c r="E2239" s="2" t="n"/>
      <c r="F2239" s="2" t="n"/>
      <c r="G2239" s="2" t="n"/>
    </row>
    <row r="2240" ht="32" customHeight="1">
      <c r="A2240" s="22" t="inlineStr">
        <is>
          <t>Разработка плана обработки рисков и положения о применимости средств управления (SoA).</t>
        </is>
      </c>
      <c r="B2240" s="2" t="n"/>
      <c r="C2240" s="2" t="n"/>
      <c r="D2240" s="2" t="n"/>
      <c r="E2240" s="2" t="n"/>
      <c r="F2240" s="2" t="n"/>
      <c r="G2240" s="2" t="n"/>
    </row>
    <row r="2241" ht="32" customHeight="1">
      <c r="A2241" s="22" t="inlineStr">
        <is>
          <t>РАЗДЕЛ IVАудит кибербезопасности.</t>
        </is>
      </c>
      <c r="B2241" s="2" t="n"/>
      <c r="C2241" s="2" t="n"/>
      <c r="D2241" s="2" t="n"/>
      <c r="E2241" s="2" t="n"/>
      <c r="F2241" s="2" t="n"/>
      <c r="G2241" s="2" t="n"/>
    </row>
    <row r="2242" ht="51" customHeight="1">
      <c r="A2242" s="3" t="inlineStr">
        <is>
          <t>АУРИК — Аудит, управление рисками и инцидентами кибербезопасности
Раздел: Управление рисками кибербезопасности · УТП: таблица 2, строка 17</t>
        </is>
      </c>
      <c r="B2242" s="4" t="n"/>
      <c r="C2242" s="4" t="n"/>
      <c r="D2242" s="4" t="n"/>
      <c r="E2242" s="4" t="n"/>
      <c r="F2242" s="4" t="n"/>
      <c r="G2242" s="4" t="n"/>
    </row>
    <row r="2243" ht="30" customHeight="1">
      <c r="A2243" s="3" t="inlineStr">
        <is>
          <t>В программе: Тема 3. Проведение оценки рисков кибербезопасности в организации (4 часа практические занятия).</t>
        </is>
      </c>
      <c r="B2243" s="4" t="n"/>
      <c r="C2243" s="4" t="n"/>
      <c r="D2243" s="4" t="n"/>
      <c r="E2243" s="4" t="n"/>
      <c r="F2243" s="4" t="n"/>
      <c r="G2243" s="4" t="n"/>
    </row>
    <row r="2244" ht="25" customHeight="1">
      <c r="A2244" s="23" t="inlineStr">
        <is>
          <t>Исходная программа АУРИК ↗</t>
        </is>
      </c>
      <c r="D2244" s="23" t="inlineStr">
        <is>
          <t>Исходный УТП АУРИК ↗</t>
        </is>
      </c>
    </row>
    <row r="2245" ht="27" customHeight="1">
      <c r="A2245" s="24">
        <f>HYPERLINK("#'Выбор тем'!E"&amp;MATCH("T-AD42D9C6",'Выбор тем'!$A:$A,0),"← Вернуться к теме")</f>
        <v/>
      </c>
    </row>
    <row r="2247" ht="38" customHeight="1">
      <c r="A2247" s="18" t="inlineStr">
        <is>
          <t>Проверка утечек, анализ IP и доменов, поиск в даркнете</t>
        </is>
      </c>
      <c r="B2247" s="19" t="n"/>
      <c r="C2247" s="19" t="n"/>
      <c r="D2247" s="19" t="n"/>
      <c r="E2247" s="19" t="n"/>
      <c r="F2247" s="19" t="n"/>
      <c r="G2247" s="19" t="n"/>
    </row>
    <row r="2248" ht="26" customHeight="1">
      <c r="A2248" s="3" t="inlineStr">
        <is>
          <t>T-8E4770CC · Программы: РКИОК</t>
        </is>
      </c>
      <c r="B2248" s="4" t="n"/>
      <c r="C2248" s="4" t="n"/>
      <c r="D2248" s="4" t="n"/>
      <c r="E2248" s="4" t="n"/>
      <c r="F2248" s="4" t="n"/>
      <c r="G2248" s="4" t="n"/>
    </row>
    <row r="2249" ht="27" customHeight="1">
      <c r="A2249" s="20" t="inlineStr">
        <is>
          <t>Вариант для: РКИОК</t>
        </is>
      </c>
      <c r="B2249" s="21" t="n"/>
      <c r="C2249" s="21" t="n"/>
      <c r="D2249" s="21" t="n"/>
      <c r="E2249" s="21" t="n"/>
      <c r="F2249" s="21" t="n"/>
      <c r="G2249" s="21" t="n"/>
    </row>
    <row r="2250" ht="48" customHeight="1">
      <c r="A2250" s="22" t="inlineStr">
        <is>
          <t>Обзор инструментов проверки утечек данных и их применение. Методы анализа IP-адресов и доменов. Особенности поиска информации в даркнете. Корреляция данных, собранных из разных источников</t>
        </is>
      </c>
      <c r="B2250" s="2" t="n"/>
      <c r="C2250" s="2" t="n"/>
      <c r="D2250" s="2" t="n"/>
      <c r="E2250" s="2" t="n"/>
      <c r="F2250" s="2" t="n"/>
      <c r="G2250" s="2" t="n"/>
    </row>
    <row r="2251" ht="51" customHeight="1">
      <c r="A2251" s="3" t="inlineStr">
        <is>
          <t>РКИОК — Реагирование на киберинциденты и отражение кибератак
Раздел: Введение в киберкриминалистику · УТП: таблица 2, строка 26</t>
        </is>
      </c>
      <c r="B2251" s="4" t="n"/>
      <c r="C2251" s="4" t="n"/>
      <c r="D2251" s="4" t="n"/>
      <c r="E2251" s="4" t="n"/>
      <c r="F2251" s="4" t="n"/>
      <c r="G2251" s="4" t="n"/>
    </row>
    <row r="2252" ht="30" customHeight="1">
      <c r="A2252" s="3" t="inlineStr">
        <is>
          <t>В программе: Тема 6. Проверка утечек, анализ IP и доменов, поиск в даркнете (1 час лекции).</t>
        </is>
      </c>
      <c r="B2252" s="4" t="n"/>
      <c r="C2252" s="4" t="n"/>
      <c r="D2252" s="4" t="n"/>
      <c r="E2252" s="4" t="n"/>
      <c r="F2252" s="4" t="n"/>
      <c r="G2252" s="4" t="n"/>
    </row>
    <row r="2253" ht="25" customHeight="1">
      <c r="A2253" s="23" t="inlineStr">
        <is>
          <t>Исходная программа РКИОК ↗</t>
        </is>
      </c>
      <c r="D2253" s="23" t="inlineStr">
        <is>
          <t>Исходный УТП РКИОК ↗</t>
        </is>
      </c>
    </row>
    <row r="2254" ht="27" customHeight="1">
      <c r="A2254" s="24">
        <f>HYPERLINK("#'Выбор тем'!E"&amp;MATCH("T-8E4770CC",'Выбор тем'!$A:$A,0),"← Вернуться к теме")</f>
        <v/>
      </c>
    </row>
    <row r="2256" ht="38" customHeight="1">
      <c r="A2256" s="18" t="inlineStr">
        <is>
          <t>Программно-аппаратные методы фильтрации трафика</t>
        </is>
      </c>
      <c r="B2256" s="19" t="n"/>
      <c r="C2256" s="19" t="n"/>
      <c r="D2256" s="19" t="n"/>
      <c r="E2256" s="19" t="n"/>
      <c r="F2256" s="19" t="n"/>
      <c r="G2256" s="19" t="n"/>
    </row>
    <row r="2257" ht="26" customHeight="1">
      <c r="A2257" s="3" t="inlineStr">
        <is>
          <t>T-8BF890EA · Программы: ККС, ТК</t>
        </is>
      </c>
      <c r="B2257" s="4" t="n"/>
      <c r="C2257" s="4" t="n"/>
      <c r="D2257" s="4" t="n"/>
      <c r="E2257" s="4" t="n"/>
      <c r="F2257" s="4" t="n"/>
      <c r="G2257" s="4" t="n"/>
    </row>
    <row r="2258" ht="27" customHeight="1">
      <c r="A2258" s="20" t="inlineStr">
        <is>
          <t>Вариант для: ККС</t>
        </is>
      </c>
      <c r="B2258" s="21" t="n"/>
      <c r="C2258" s="21" t="n"/>
      <c r="D2258" s="21" t="n"/>
      <c r="E2258" s="21" t="n"/>
      <c r="F2258" s="21" t="n"/>
      <c r="G2258" s="21" t="n"/>
    </row>
    <row r="2259" ht="48" customHeight="1">
      <c r="A2259" s="22" t="inlineStr">
        <is>
          <t>Виды межсетевых экранов, их достоинства и недостатки. Межсетевые экраны нового поколения. Варианты конфигурации политик безопасности на межсетевых экранах. Методы фильтрации пакетов. Устройства обнаружения сложных угроз.</t>
        </is>
      </c>
      <c r="B2259" s="2" t="n"/>
      <c r="C2259" s="2" t="n"/>
      <c r="D2259" s="2" t="n"/>
      <c r="E2259" s="2" t="n"/>
      <c r="F2259" s="2" t="n"/>
      <c r="G2259" s="2" t="n"/>
    </row>
    <row r="2260" ht="32" customHeight="1">
      <c r="A2260" s="22" t="inlineStr">
        <is>
          <t>Вопросы круглого стола:</t>
        </is>
      </c>
      <c r="B2260" s="2" t="n"/>
      <c r="C2260" s="2" t="n"/>
      <c r="D2260" s="2" t="n"/>
      <c r="E2260" s="2" t="n"/>
      <c r="F2260" s="2" t="n"/>
      <c r="G2260" s="2" t="n"/>
    </row>
    <row r="2261" ht="32" customHeight="1">
      <c r="A2261" s="22" t="inlineStr">
        <is>
          <t>Варианты построения защищенных корпоративных сетей на основе межсетевых экранов.</t>
        </is>
      </c>
      <c r="B2261" s="2" t="n"/>
      <c r="C2261" s="2" t="n"/>
      <c r="D2261" s="2" t="n"/>
      <c r="E2261" s="2" t="n"/>
      <c r="F2261" s="2" t="n"/>
      <c r="G2261" s="2" t="n"/>
    </row>
    <row r="2262" ht="51" customHeight="1">
      <c r="A2262" s="3" t="inlineStr">
        <is>
          <t>ККС — Кибербезопасность корпоративных систем
Раздел: Технические меры по обеспечению кибербезопасности · УТП: таблица 2, строка 22</t>
        </is>
      </c>
      <c r="B2262" s="4" t="n"/>
      <c r="C2262" s="4" t="n"/>
      <c r="D2262" s="4" t="n"/>
      <c r="E2262" s="4" t="n"/>
      <c r="F2262" s="4" t="n"/>
      <c r="G2262" s="4" t="n"/>
    </row>
    <row r="2263" ht="30" customHeight="1">
      <c r="A2263" s="3" t="inlineStr">
        <is>
          <t>В программе: Тема 8. Программно-аппаратные методы фильтрации трафика (2 часа лекции, 2 часа круглый стол).</t>
        </is>
      </c>
      <c r="B2263" s="4" t="n"/>
      <c r="C2263" s="4" t="n"/>
      <c r="D2263" s="4" t="n"/>
      <c r="E2263" s="4" t="n"/>
      <c r="F2263" s="4" t="n"/>
      <c r="G2263" s="4" t="n"/>
    </row>
    <row r="2264" ht="25" customHeight="1">
      <c r="A2264" s="23" t="inlineStr">
        <is>
          <t>Исходная программа ККС ↗</t>
        </is>
      </c>
      <c r="D2264" s="23" t="inlineStr">
        <is>
          <t>Исходный УТП ККС ↗</t>
        </is>
      </c>
    </row>
    <row r="2265" ht="27" customHeight="1">
      <c r="A2265" s="20" t="inlineStr">
        <is>
          <t>Вариант для: ТК</t>
        </is>
      </c>
      <c r="B2265" s="21" t="n"/>
      <c r="C2265" s="21" t="n"/>
      <c r="D2265" s="21" t="n"/>
      <c r="E2265" s="21" t="n"/>
      <c r="F2265" s="21" t="n"/>
      <c r="G2265" s="21" t="n"/>
    </row>
    <row r="2266" ht="64" customHeight="1">
      <c r="A2266" s="22" t="inlineStr">
        <is>
          <t>Варианты построения защищенных корпоративных сетей на основе межсетевых экранов. Использование NAT, PAT. Виды межсетевых экранов, их достоинства и недостатки. Межсетевые экраны нового поколения. Варианты конфигурации политик безопасности на межсетевых экранах. Методы фильтрации пакетов. Устройства обнаружения сложных угроз.</t>
        </is>
      </c>
      <c r="B2266" s="2" t="n"/>
      <c r="C2266" s="2" t="n"/>
      <c r="D2266" s="2" t="n"/>
      <c r="E2266" s="2" t="n"/>
      <c r="F2266" s="2" t="n"/>
      <c r="G2266" s="2" t="n"/>
    </row>
    <row r="2267" ht="51" customHeight="1">
      <c r="A226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21</t>
        </is>
      </c>
      <c r="B2267" s="4" t="n"/>
      <c r="C2267" s="4" t="n"/>
      <c r="D2267" s="4" t="n"/>
      <c r="E2267" s="4" t="n"/>
      <c r="F2267" s="4" t="n"/>
      <c r="G2267" s="4" t="n"/>
    </row>
    <row r="2268" ht="30" customHeight="1">
      <c r="A2268" s="3" t="inlineStr">
        <is>
          <t>В программе: Тема 9. Программно-аппаратные методы фильтрации трафика (2 часа лекции, 2 часа лабораторные занятия).</t>
        </is>
      </c>
      <c r="B2268" s="4" t="n"/>
      <c r="C2268" s="4" t="n"/>
      <c r="D2268" s="4" t="n"/>
      <c r="E2268" s="4" t="n"/>
      <c r="F2268" s="4" t="n"/>
      <c r="G2268" s="4" t="n"/>
    </row>
    <row r="2269" ht="25" customHeight="1">
      <c r="A2269" s="23" t="inlineStr">
        <is>
          <t>Исходная программа ТК ↗</t>
        </is>
      </c>
      <c r="D2269" s="23" t="inlineStr">
        <is>
          <t>Исходный УТП ТК ↗</t>
        </is>
      </c>
    </row>
    <row r="2270" ht="27" customHeight="1">
      <c r="A2270" s="24">
        <f>HYPERLINK("#'Выбор тем'!E"&amp;MATCH("T-8BF890EA",'Выбор тем'!$A:$A,0),"← Вернуться к теме")</f>
        <v/>
      </c>
    </row>
    <row r="2272" ht="38" customHeight="1">
      <c r="A2272" s="18" t="inlineStr">
        <is>
          <t>Проектирование и внедрение структурированных кабельных систем</t>
        </is>
      </c>
      <c r="B2272" s="19" t="n"/>
      <c r="C2272" s="19" t="n"/>
      <c r="D2272" s="19" t="n"/>
      <c r="E2272" s="19" t="n"/>
      <c r="F2272" s="19" t="n"/>
      <c r="G2272" s="19" t="n"/>
    </row>
    <row r="2273" ht="26" customHeight="1">
      <c r="A2273" s="3" t="inlineStr">
        <is>
          <t>T-94624995 · Программы: ОПКС</t>
        </is>
      </c>
      <c r="B2273" s="4" t="n"/>
      <c r="C2273" s="4" t="n"/>
      <c r="D2273" s="4" t="n"/>
      <c r="E2273" s="4" t="n"/>
      <c r="F2273" s="4" t="n"/>
      <c r="G2273" s="4" t="n"/>
    </row>
    <row r="2274" ht="27" customHeight="1">
      <c r="A2274" s="20" t="inlineStr">
        <is>
          <t>Вариант для: ОПКС</t>
        </is>
      </c>
      <c r="B2274" s="21" t="n"/>
      <c r="C2274" s="21" t="n"/>
      <c r="D2274" s="21" t="n"/>
      <c r="E2274" s="21" t="n"/>
      <c r="F2274" s="21" t="n"/>
      <c r="G2274" s="21" t="n"/>
    </row>
    <row r="2275" ht="80" customHeight="1">
      <c r="A2275" s="22" t="inlineStr">
        <is>
          <t>Основные понятия, стандарты, принципы построения структурированных кабельных систем (далее – СКС). Отличия СКС и локальной сети. Виды топологий компьютерных сетей. Физическая и логическая топологии. Типы оборудования для построения компьютерных сетей. Требования по установке и монтажу кабеля, телекоммуникационных розеток, телекоммуникационных шкафов и другого оборудования. Тестирование физических соединений. Правила организации серверных помещений.</t>
        </is>
      </c>
      <c r="B2275" s="2" t="n"/>
      <c r="C2275" s="2" t="n"/>
      <c r="D2275" s="2" t="n"/>
      <c r="E2275" s="2" t="n"/>
      <c r="F2275" s="2" t="n"/>
      <c r="G2275" s="2" t="n"/>
    </row>
    <row r="2276" ht="51" customHeight="1">
      <c r="A2276"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6</t>
        </is>
      </c>
      <c r="B2276" s="4" t="n"/>
      <c r="C2276" s="4" t="n"/>
      <c r="D2276" s="4" t="n"/>
      <c r="E2276" s="4" t="n"/>
      <c r="F2276" s="4" t="n"/>
      <c r="G2276" s="4" t="n"/>
    </row>
    <row r="2277" ht="30" customHeight="1">
      <c r="A2277" s="3" t="inlineStr">
        <is>
          <t>В программе: Тема 1. Проектирование и внедрение структурированных кабельных систем (2 часа лекции).</t>
        </is>
      </c>
      <c r="B2277" s="4" t="n"/>
      <c r="C2277" s="4" t="n"/>
      <c r="D2277" s="4" t="n"/>
      <c r="E2277" s="4" t="n"/>
      <c r="F2277" s="4" t="n"/>
      <c r="G2277" s="4" t="n"/>
    </row>
    <row r="2278" ht="25" customHeight="1">
      <c r="A2278" s="23" t="inlineStr">
        <is>
          <t>Исходная программа ОПКС ↗</t>
        </is>
      </c>
      <c r="D2278" s="23" t="inlineStr">
        <is>
          <t>Исходный УТП ОПКС ↗</t>
        </is>
      </c>
    </row>
    <row r="2279" ht="27" customHeight="1">
      <c r="A2279" s="24">
        <f>HYPERLINK("#'Выбор тем'!E"&amp;MATCH("T-94624995",'Выбор тем'!$A:$A,0),"← Вернуться к теме")</f>
        <v/>
      </c>
    </row>
    <row r="2281" ht="38" customHeight="1">
      <c r="A2281" s="18" t="inlineStr">
        <is>
          <t>Проектирование и создание систем защиты информации</t>
        </is>
      </c>
      <c r="B2281" s="19" t="n"/>
      <c r="C2281" s="19" t="n"/>
      <c r="D2281" s="19" t="n"/>
      <c r="E2281" s="19" t="n"/>
      <c r="F2281" s="19" t="n"/>
      <c r="G2281" s="19" t="n"/>
    </row>
    <row r="2282" ht="26" customHeight="1">
      <c r="A2282" s="3" t="inlineStr">
        <is>
          <t>T-F4D2B23F · Программы: ПСАЭ</t>
        </is>
      </c>
      <c r="B2282" s="4" t="n"/>
      <c r="C2282" s="4" t="n"/>
      <c r="D2282" s="4" t="n"/>
      <c r="E2282" s="4" t="n"/>
      <c r="F2282" s="4" t="n"/>
      <c r="G2282" s="4" t="n"/>
    </row>
    <row r="2283" ht="27" customHeight="1">
      <c r="A2283" s="20" t="inlineStr">
        <is>
          <t>Вариант для: ПСАЭ</t>
        </is>
      </c>
      <c r="B2283" s="21" t="n"/>
      <c r="C2283" s="21" t="n"/>
      <c r="D2283" s="21" t="n"/>
      <c r="E2283" s="21" t="n"/>
      <c r="F2283" s="21" t="n"/>
      <c r="G2283" s="21" t="n"/>
    </row>
    <row r="2284" ht="64" customHeight="1">
      <c r="A2284" s="22" t="inlineStr">
        <is>
          <t>Инвентаризация активов и их классификация. Рабочая группа и роли ее участников. Идентификация целевых и ключевых систем в организации. Система защиты информации. Проектирование системы защиты информации. Стратегия обеспечения безопасности информации. Создание системы защиты информации. Эксплуатация системы защиты информации.</t>
        </is>
      </c>
      <c r="B2284" s="2" t="n"/>
      <c r="C2284" s="2" t="n"/>
      <c r="D2284" s="2" t="n"/>
      <c r="E2284" s="2" t="n"/>
      <c r="F2284" s="2" t="n"/>
      <c r="G2284" s="2" t="n"/>
    </row>
    <row r="2285" ht="51" customHeight="1">
      <c r="A2285"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19</t>
        </is>
      </c>
      <c r="B2285" s="4" t="n"/>
      <c r="C2285" s="4" t="n"/>
      <c r="D2285" s="4" t="n"/>
      <c r="E2285" s="4" t="n"/>
      <c r="F2285" s="4" t="n"/>
      <c r="G2285" s="4" t="n"/>
    </row>
    <row r="2286" ht="30" customHeight="1">
      <c r="A2286" s="3" t="inlineStr">
        <is>
          <t>В программе: Тема 3. Проектирование и создание систем защиты информации (4 часа лекции).</t>
        </is>
      </c>
      <c r="B2286" s="4" t="n"/>
      <c r="C2286" s="4" t="n"/>
      <c r="D2286" s="4" t="n"/>
      <c r="E2286" s="4" t="n"/>
      <c r="F2286" s="4" t="n"/>
      <c r="G2286" s="4" t="n"/>
    </row>
    <row r="2287" ht="25" customHeight="1">
      <c r="A2287" s="23" t="inlineStr">
        <is>
          <t>Исходная программа ПСАЭ ↗</t>
        </is>
      </c>
      <c r="D2287" s="23" t="inlineStr">
        <is>
          <t>Исходный УТП ПСАЭ ↗</t>
        </is>
      </c>
    </row>
    <row r="2288" ht="27" customHeight="1">
      <c r="A2288" s="24">
        <f>HYPERLINK("#'Выбор тем'!E"&amp;MATCH("T-F4D2B23F",'Выбор тем'!$A:$A,0),"← Вернуться к теме")</f>
        <v/>
      </c>
    </row>
    <row r="2290" ht="38" customHeight="1">
      <c r="A2290" s="18" t="inlineStr">
        <is>
          <t>Проектный подход в цифровых инициативах</t>
        </is>
      </c>
      <c r="B2290" s="19" t="n"/>
      <c r="C2290" s="19" t="n"/>
      <c r="D2290" s="19" t="n"/>
      <c r="E2290" s="19" t="n"/>
      <c r="F2290" s="19" t="n"/>
      <c r="G2290" s="19" t="n"/>
    </row>
    <row r="2291" ht="26" customHeight="1">
      <c r="A2291" s="3" t="inlineStr">
        <is>
          <t>T-9BFE2CB8 · Программы: ЦТГУ</t>
        </is>
      </c>
      <c r="B2291" s="4" t="n"/>
      <c r="C2291" s="4" t="n"/>
      <c r="D2291" s="4" t="n"/>
      <c r="E2291" s="4" t="n"/>
      <c r="F2291" s="4" t="n"/>
      <c r="G2291" s="4" t="n"/>
    </row>
    <row r="2292" ht="27" customHeight="1">
      <c r="A2292" s="20" t="inlineStr">
        <is>
          <t>Вариант для: ЦТГУ</t>
        </is>
      </c>
      <c r="B2292" s="21" t="n"/>
      <c r="C2292" s="21" t="n"/>
      <c r="D2292" s="21" t="n"/>
      <c r="E2292" s="21" t="n"/>
      <c r="F2292" s="21" t="n"/>
      <c r="G2292" s="21" t="n"/>
    </row>
    <row r="2293" ht="48" customHeight="1">
      <c r="A2293" s="22" t="inlineStr">
        <is>
          <t>Базовые элементы проектного управления. Планирование этапов и ресурсов. Управление рисками. Требования к подготовке технического паспорта мероприятия в сфере цифрового развития.</t>
        </is>
      </c>
      <c r="B2293" s="2" t="n"/>
      <c r="C2293" s="2" t="n"/>
      <c r="D2293" s="2" t="n"/>
      <c r="E2293" s="2" t="n"/>
      <c r="F2293" s="2" t="n"/>
      <c r="G2293" s="2" t="n"/>
    </row>
    <row r="2294" ht="51" customHeight="1">
      <c r="A2294" s="3" t="inlineStr">
        <is>
          <t>ЦТГУ — Цифровая трансформация государственного управления
Раздел: Управление цифровой трансформацией: офисы цифровизации · УТП: таблица 2, строка 22</t>
        </is>
      </c>
      <c r="B2294" s="4" t="n"/>
      <c r="C2294" s="4" t="n"/>
      <c r="D2294" s="4" t="n"/>
      <c r="E2294" s="4" t="n"/>
      <c r="F2294" s="4" t="n"/>
      <c r="G2294" s="4" t="n"/>
    </row>
    <row r="2295" ht="30" customHeight="1">
      <c r="A2295" s="3" t="inlineStr">
        <is>
          <t>В программе: Тема 4. Проектный подход в цифровых инициативах (2 часа лекции).</t>
        </is>
      </c>
      <c r="B2295" s="4" t="n"/>
      <c r="C2295" s="4" t="n"/>
      <c r="D2295" s="4" t="n"/>
      <c r="E2295" s="4" t="n"/>
      <c r="F2295" s="4" t="n"/>
      <c r="G2295" s="4" t="n"/>
    </row>
    <row r="2296" ht="25" customHeight="1">
      <c r="A2296" s="23" t="inlineStr">
        <is>
          <t>Исходная программа ЦТГУ ↗</t>
        </is>
      </c>
      <c r="D2296" s="23" t="inlineStr">
        <is>
          <t>Исходный УТП ЦТГУ ↗</t>
        </is>
      </c>
    </row>
    <row r="2297" ht="27" customHeight="1">
      <c r="A2297" s="24">
        <f>HYPERLINK("#'Выбор тем'!E"&amp;MATCH("T-9BFE2CB8",'Выбор тем'!$A:$A,0),"← Вернуться к теме")</f>
        <v/>
      </c>
    </row>
    <row r="2299" ht="38" customHeight="1">
      <c r="A2299" s="18" t="inlineStr">
        <is>
          <t>Противодействие целенаправленным кибератакам</t>
        </is>
      </c>
      <c r="B2299" s="19" t="n"/>
      <c r="C2299" s="19" t="n"/>
      <c r="D2299" s="19" t="n"/>
      <c r="E2299" s="19" t="n"/>
      <c r="F2299" s="19" t="n"/>
      <c r="G2299" s="19" t="n"/>
    </row>
    <row r="2300" ht="26" customHeight="1">
      <c r="A2300" s="3" t="inlineStr">
        <is>
          <t>T-DE1BDCB4 · Программы: ТК</t>
        </is>
      </c>
      <c r="B2300" s="4" t="n"/>
      <c r="C2300" s="4" t="n"/>
      <c r="D2300" s="4" t="n"/>
      <c r="E2300" s="4" t="n"/>
      <c r="F2300" s="4" t="n"/>
      <c r="G2300" s="4" t="n"/>
    </row>
    <row r="2301" ht="27" customHeight="1">
      <c r="A2301" s="20" t="inlineStr">
        <is>
          <t>Вариант для: ТК</t>
        </is>
      </c>
      <c r="B2301" s="21" t="n"/>
      <c r="C2301" s="21" t="n"/>
      <c r="D2301" s="21" t="n"/>
      <c r="E2301" s="21" t="n"/>
      <c r="F2301" s="21" t="n"/>
      <c r="G2301" s="21" t="n"/>
    </row>
    <row r="2302" ht="48" customHeight="1">
      <c r="A2302" s="22" t="inlineStr">
        <is>
          <t>Модель нарушителя Cyber Kill Chain: этапы практической реализации. Уязвимости информационных систем: классификация, обнаружение, управление. Стратегия обеспечения безопасности информации: защита, обнаружение, реагирование. Обнаружение целенаправленных кибератак. Threat hunting.</t>
        </is>
      </c>
      <c r="B2302" s="2" t="n"/>
      <c r="C2302" s="2" t="n"/>
      <c r="D2302" s="2" t="n"/>
      <c r="E2302" s="2" t="n"/>
      <c r="F2302" s="2" t="n"/>
      <c r="G2302" s="2" t="n"/>
    </row>
    <row r="2303" ht="51" customHeight="1">
      <c r="A2303"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10</t>
        </is>
      </c>
      <c r="B2303" s="4" t="n"/>
      <c r="C2303" s="4" t="n"/>
      <c r="D2303" s="4" t="n"/>
      <c r="E2303" s="4" t="n"/>
      <c r="F2303" s="4" t="n"/>
      <c r="G2303" s="4" t="n"/>
    </row>
    <row r="2304" ht="30" customHeight="1">
      <c r="A2304" s="3" t="inlineStr">
        <is>
          <t>В программе: Тема 2. Противодействие целенаправленным кибератакам (8 часов лекции, 2 часа практические занятия, 6 часов лабораторные занятия).</t>
        </is>
      </c>
      <c r="B2304" s="4" t="n"/>
      <c r="C2304" s="4" t="n"/>
      <c r="D2304" s="4" t="n"/>
      <c r="E2304" s="4" t="n"/>
      <c r="F2304" s="4" t="n"/>
      <c r="G2304" s="4" t="n"/>
    </row>
    <row r="2305" ht="25" customHeight="1">
      <c r="A2305" s="23" t="inlineStr">
        <is>
          <t>Исходная программа ТК ↗</t>
        </is>
      </c>
      <c r="D2305" s="23" t="inlineStr">
        <is>
          <t>Исходный УТП ТК ↗</t>
        </is>
      </c>
    </row>
    <row r="2306" ht="27" customHeight="1">
      <c r="A2306" s="24">
        <f>HYPERLINK("#'Выбор тем'!E"&amp;MATCH("T-DE1BDCB4",'Выбор тем'!$A:$A,0),"← Вернуться к теме")</f>
        <v/>
      </c>
    </row>
    <row r="2308" ht="38" customHeight="1">
      <c r="A2308" s="18" t="inlineStr">
        <is>
          <t>Протоколы DHCPv4, DHCPv6</t>
        </is>
      </c>
      <c r="B2308" s="19" t="n"/>
      <c r="C2308" s="19" t="n"/>
      <c r="D2308" s="19" t="n"/>
      <c r="E2308" s="19" t="n"/>
      <c r="F2308" s="19" t="n"/>
      <c r="G2308" s="19" t="n"/>
    </row>
    <row r="2309" ht="26" customHeight="1">
      <c r="A2309" s="3" t="inlineStr">
        <is>
          <t>T-9550B70A · Программы: ОКМ</t>
        </is>
      </c>
      <c r="B2309" s="4" t="n"/>
      <c r="C2309" s="4" t="n"/>
      <c r="D2309" s="4" t="n"/>
      <c r="E2309" s="4" t="n"/>
      <c r="F2309" s="4" t="n"/>
      <c r="G2309" s="4" t="n"/>
    </row>
    <row r="2310" ht="27" customHeight="1">
      <c r="A2310" s="20" t="inlineStr">
        <is>
          <t>Вариант для: ОКМ</t>
        </is>
      </c>
      <c r="B2310" s="21" t="n"/>
      <c r="C2310" s="21" t="n"/>
      <c r="D2310" s="21" t="n"/>
      <c r="E2310" s="21" t="n"/>
      <c r="F2310" s="21" t="n"/>
      <c r="G2310" s="21" t="n"/>
    </row>
    <row r="2311" ht="64" customHeight="1">
      <c r="A2311" s="22" t="inlineStr">
        <is>
          <t>Назначение, принципы работы и структура сообщений, процесс автоматического присвоения IP-адресов и других параметров сети (маска подсети, шлюз, DNS-сервер) клиентам в IPv4- и IPv6-сетях. Механизм обмена сообщениями DHCP (Discover, Offer, Request, Ack для DHCPv4; Solicit, Advertise, Request, Reply для DHCPv6). Особенности работы DHCP в многоадресных и сегментированных сетях, роль DHCP relay и взаимодействие с маршрутизаторами.</t>
        </is>
      </c>
      <c r="B2311" s="2" t="n"/>
      <c r="C2311" s="2" t="n"/>
      <c r="D2311" s="2" t="n"/>
      <c r="E2311" s="2" t="n"/>
      <c r="F2311" s="2" t="n"/>
      <c r="G2311" s="2" t="n"/>
    </row>
    <row r="2312" ht="51" customHeight="1">
      <c r="A2312" s="3" t="inlineStr">
        <is>
          <t>ОКМ — Основы обеспечения кибербезопасности. маршрутизация. IPv4- и IPv6-адресация
Раздел: Маршрутизация. IPv4 и IPv6 адресация · УТП: таблица 2, строка 18</t>
        </is>
      </c>
      <c r="B2312" s="4" t="n"/>
      <c r="C2312" s="4" t="n"/>
      <c r="D2312" s="4" t="n"/>
      <c r="E2312" s="4" t="n"/>
      <c r="F2312" s="4" t="n"/>
      <c r="G2312" s="4" t="n"/>
    </row>
    <row r="2313" ht="30" customHeight="1">
      <c r="A2313" s="3" t="inlineStr">
        <is>
          <t>В программе: Тема 4. Протоколы DHCPv4, DHCPv6 (2 часа лекции, 2 часа лабораторные занятия).</t>
        </is>
      </c>
      <c r="B2313" s="4" t="n"/>
      <c r="C2313" s="4" t="n"/>
      <c r="D2313" s="4" t="n"/>
      <c r="E2313" s="4" t="n"/>
      <c r="F2313" s="4" t="n"/>
      <c r="G2313" s="4" t="n"/>
    </row>
    <row r="2314" ht="25" customHeight="1">
      <c r="A2314" s="23" t="inlineStr">
        <is>
          <t>Исходная программа ОКМ ↗</t>
        </is>
      </c>
      <c r="D2314" s="23" t="inlineStr">
        <is>
          <t>Исходный УТП ОКМ ↗</t>
        </is>
      </c>
    </row>
    <row r="2315" ht="27" customHeight="1">
      <c r="A2315" s="24">
        <f>HYPERLINK("#'Выбор тем'!E"&amp;MATCH("T-9550B70A",'Выбор тем'!$A:$A,0),"← Вернуться к теме")</f>
        <v/>
      </c>
    </row>
    <row r="2317" ht="38" customHeight="1">
      <c r="A2317" s="18" t="inlineStr">
        <is>
          <t>Работа с false positive: фильтрация, обогащение, подтверждение</t>
        </is>
      </c>
      <c r="B2317" s="19" t="n"/>
      <c r="C2317" s="19" t="n"/>
      <c r="D2317" s="19" t="n"/>
      <c r="E2317" s="19" t="n"/>
      <c r="F2317" s="19" t="n"/>
      <c r="G2317" s="19" t="n"/>
    </row>
    <row r="2318" ht="26" customHeight="1">
      <c r="A2318" s="3" t="inlineStr">
        <is>
          <t>T-E0A32CD6 · Программы: РКИОК</t>
        </is>
      </c>
      <c r="B2318" s="4" t="n"/>
      <c r="C2318" s="4" t="n"/>
      <c r="D2318" s="4" t="n"/>
      <c r="E2318" s="4" t="n"/>
      <c r="F2318" s="4" t="n"/>
      <c r="G2318" s="4" t="n"/>
    </row>
    <row r="2319" ht="27" customHeight="1">
      <c r="A2319" s="20" t="inlineStr">
        <is>
          <t>Вариант для: РКИОК</t>
        </is>
      </c>
      <c r="B2319" s="21" t="n"/>
      <c r="C2319" s="21" t="n"/>
      <c r="D2319" s="21" t="n"/>
      <c r="E2319" s="21" t="n"/>
      <c r="F2319" s="21" t="n"/>
      <c r="G2319" s="21" t="n"/>
    </row>
    <row r="2320" ht="48" customHeight="1">
      <c r="A2320" s="22" t="inlineStr">
        <is>
          <t>Снижение ложных срабатываний посредством дополнительной корреляции и обогащения. Создание белых списков, исключений и пороговых значений. Необходимость ручной проверки в спорных случаях.</t>
        </is>
      </c>
      <c r="B2320" s="2" t="n"/>
      <c r="C2320" s="2" t="n"/>
      <c r="D2320" s="2" t="n"/>
      <c r="E2320" s="2" t="n"/>
      <c r="F2320" s="2" t="n"/>
      <c r="G2320" s="2" t="n"/>
    </row>
    <row r="2321" ht="51" customHeight="1">
      <c r="A2321" s="3" t="inlineStr">
        <is>
          <t>РКИОК — Реагирование на киберинциденты и отражение кибератак
Раздел: Автоматизация обработки инцидентов · УТП: таблица 2, строка 64</t>
        </is>
      </c>
      <c r="B2321" s="4" t="n"/>
      <c r="C2321" s="4" t="n"/>
      <c r="D2321" s="4" t="n"/>
      <c r="E2321" s="4" t="n"/>
      <c r="F2321" s="4" t="n"/>
      <c r="G2321" s="4" t="n"/>
    </row>
    <row r="2322" ht="30" customHeight="1">
      <c r="A2322" s="3" t="inlineStr">
        <is>
          <t>В программе: Тема 6. Работа с false positive: фильтрация, обогащение, подтверждение (1 час лекции).</t>
        </is>
      </c>
      <c r="B2322" s="4" t="n"/>
      <c r="C2322" s="4" t="n"/>
      <c r="D2322" s="4" t="n"/>
      <c r="E2322" s="4" t="n"/>
      <c r="F2322" s="4" t="n"/>
      <c r="G2322" s="4" t="n"/>
    </row>
    <row r="2323" ht="25" customHeight="1">
      <c r="A2323" s="23" t="inlineStr">
        <is>
          <t>Исходная программа РКИОК ↗</t>
        </is>
      </c>
      <c r="D2323" s="23" t="inlineStr">
        <is>
          <t>Исходный УТП РКИОК ↗</t>
        </is>
      </c>
    </row>
    <row r="2324" ht="27" customHeight="1">
      <c r="A2324" s="24">
        <f>HYPERLINK("#'Выбор тем'!E"&amp;MATCH("T-E0A32CD6",'Выбор тем'!$A:$A,0),"← Вернуться к теме")</f>
        <v/>
      </c>
    </row>
    <row r="2326" ht="38" customHeight="1">
      <c r="A2326" s="18" t="inlineStr">
        <is>
          <t>Разбор типичных инцидентов</t>
        </is>
      </c>
      <c r="B2326" s="19" t="n"/>
      <c r="C2326" s="19" t="n"/>
      <c r="D2326" s="19" t="n"/>
      <c r="E2326" s="19" t="n"/>
      <c r="F2326" s="19" t="n"/>
      <c r="G2326" s="19" t="n"/>
    </row>
    <row r="2327" ht="26" customHeight="1">
      <c r="A2327" s="3" t="inlineStr">
        <is>
          <t>T-7615F8DC · Программы: РКИОК</t>
        </is>
      </c>
      <c r="B2327" s="4" t="n"/>
      <c r="C2327" s="4" t="n"/>
      <c r="D2327" s="4" t="n"/>
      <c r="E2327" s="4" t="n"/>
      <c r="F2327" s="4" t="n"/>
      <c r="G2327" s="4" t="n"/>
    </row>
    <row r="2328" ht="27" customHeight="1">
      <c r="A2328" s="20" t="inlineStr">
        <is>
          <t>Вариант для: РКИОК</t>
        </is>
      </c>
      <c r="B2328" s="21" t="n"/>
      <c r="C2328" s="21" t="n"/>
      <c r="D2328" s="21" t="n"/>
      <c r="E2328" s="21" t="n"/>
      <c r="F2328" s="21" t="n"/>
      <c r="G2328" s="21" t="n"/>
    </row>
    <row r="2329" ht="48" customHeight="1">
      <c r="A2329" s="22" t="inlineStr">
        <is>
          <t>Постановка задачи и описание входных данных. Определение типа атаки. Описание использованных в атаке техник (по классификации MITRE). Обсуждение действий по реагированию и предотвращению подобных инцидентов.</t>
        </is>
      </c>
      <c r="B2329" s="2" t="n"/>
      <c r="C2329" s="2" t="n"/>
      <c r="D2329" s="2" t="n"/>
      <c r="E2329" s="2" t="n"/>
      <c r="F2329" s="2" t="n"/>
      <c r="G2329" s="2" t="n"/>
    </row>
    <row r="2330" ht="51" customHeight="1">
      <c r="A2330" s="3" t="inlineStr">
        <is>
          <t>РКИОК — Реагирование на киберинциденты и отражение кибератак
Раздел: Угрозы информационной безопасности · УТП: таблица 2, строка 9</t>
        </is>
      </c>
      <c r="B2330" s="4" t="n"/>
      <c r="C2330" s="4" t="n"/>
      <c r="D2330" s="4" t="n"/>
      <c r="E2330" s="4" t="n"/>
      <c r="F2330" s="4" t="n"/>
      <c r="G2330" s="4" t="n"/>
    </row>
    <row r="2331" ht="30" customHeight="1">
      <c r="A2331" s="3" t="inlineStr">
        <is>
          <t>В программе: Тема 4. Разбор типичных инцидентов (3 часа практические занятия).</t>
        </is>
      </c>
      <c r="B2331" s="4" t="n"/>
      <c r="C2331" s="4" t="n"/>
      <c r="D2331" s="4" t="n"/>
      <c r="E2331" s="4" t="n"/>
      <c r="F2331" s="4" t="n"/>
      <c r="G2331" s="4" t="n"/>
    </row>
    <row r="2332" ht="25" customHeight="1">
      <c r="A2332" s="23" t="inlineStr">
        <is>
          <t>Исходная программа РКИОК ↗</t>
        </is>
      </c>
      <c r="D2332" s="23" t="inlineStr">
        <is>
          <t>Исходный УТП РКИОК ↗</t>
        </is>
      </c>
    </row>
    <row r="2333" ht="27" customHeight="1">
      <c r="A2333" s="24">
        <f>HYPERLINK("#'Выбор тем'!E"&amp;MATCH("T-7615F8DC",'Выбор тем'!$A:$A,0),"← Вернуться к теме")</f>
        <v/>
      </c>
    </row>
    <row r="2335" ht="38" customHeight="1">
      <c r="A2335" s="18" t="inlineStr">
        <is>
          <t>Разработка и документирование политик информационной безопасности</t>
        </is>
      </c>
      <c r="B2335" s="19" t="n"/>
      <c r="C2335" s="19" t="n"/>
      <c r="D2335" s="19" t="n"/>
      <c r="E2335" s="19" t="n"/>
      <c r="F2335" s="19" t="n"/>
      <c r="G2335" s="19" t="n"/>
    </row>
    <row r="2336" ht="26" customHeight="1">
      <c r="A2336" s="3" t="inlineStr">
        <is>
          <t>T-F21D19B1 · Программы: ККС</t>
        </is>
      </c>
      <c r="B2336" s="4" t="n"/>
      <c r="C2336" s="4" t="n"/>
      <c r="D2336" s="4" t="n"/>
      <c r="E2336" s="4" t="n"/>
      <c r="F2336" s="4" t="n"/>
      <c r="G2336" s="4" t="n"/>
    </row>
    <row r="2337" ht="27" customHeight="1">
      <c r="A2337" s="20" t="inlineStr">
        <is>
          <t>Вариант для: ККС</t>
        </is>
      </c>
      <c r="B2337" s="21" t="n"/>
      <c r="C2337" s="21" t="n"/>
      <c r="D2337" s="21" t="n"/>
      <c r="E2337" s="21" t="n"/>
      <c r="F2337" s="21" t="n"/>
      <c r="G2337" s="21" t="n"/>
    </row>
    <row r="2338" ht="32" customHeight="1">
      <c r="A2338" s="22" t="inlineStr">
        <is>
          <t>Политики, стандарты, процедуры и руководства.</t>
        </is>
      </c>
      <c r="B2338" s="2" t="n"/>
      <c r="C2338" s="2" t="n"/>
      <c r="D2338" s="2" t="n"/>
      <c r="E2338" s="2" t="n"/>
      <c r="F2338" s="2" t="n"/>
      <c r="G2338" s="2" t="n"/>
    </row>
    <row r="2339" ht="32" customHeight="1">
      <c r="A2339" s="22" t="inlineStr">
        <is>
          <t>Что это такое и как их различать, как они подкрепляют друг друга. Создание иерархии политик, стандартов, процедур и руководств.</t>
        </is>
      </c>
      <c r="B2339" s="2" t="n"/>
      <c r="C2339" s="2" t="n"/>
      <c r="D2339" s="2" t="n"/>
      <c r="E2339" s="2" t="n"/>
      <c r="F2339" s="2" t="n"/>
      <c r="G2339" s="2" t="n"/>
    </row>
    <row r="2340" ht="32" customHeight="1">
      <c r="A2340" s="22" t="inlineStr">
        <is>
          <t>Структура политики.</t>
        </is>
      </c>
      <c r="B2340" s="2" t="n"/>
      <c r="C2340" s="2" t="n"/>
      <c r="D2340" s="2" t="n"/>
      <c r="E2340" s="2" t="n"/>
      <c r="F2340" s="2" t="n"/>
      <c r="G2340" s="2" t="n"/>
    </row>
    <row r="2341" ht="32" customHeight="1">
      <c r="A2341" s="22" t="inlineStr">
        <is>
          <t>Структура и формат политики, компоненты политики, обеспечение должной ответственности за безопасность.</t>
        </is>
      </c>
      <c r="B2341" s="2" t="n"/>
      <c r="C2341" s="2" t="n"/>
      <c r="D2341" s="2" t="n"/>
      <c r="E2341" s="2" t="n"/>
      <c r="F2341" s="2" t="n"/>
      <c r="G2341" s="2" t="n"/>
    </row>
    <row r="2342" ht="32" customHeight="1">
      <c r="A2342" s="22" t="inlineStr">
        <is>
          <t>Специфические политики информационной безопасности.</t>
        </is>
      </c>
      <c r="B2342" s="2" t="n"/>
      <c r="C2342" s="2" t="n"/>
      <c r="D2342" s="2" t="n"/>
      <c r="E2342" s="2" t="n"/>
      <c r="F2342" s="2" t="n"/>
      <c r="G2342" s="2" t="n"/>
    </row>
    <row r="2343" ht="80" customHeight="1">
      <c r="A2343" s="22" t="inlineStr">
        <is>
          <t>Интернет: технические и организационные требования для всесторонней политики. Электронная почта: административные и правовые вопросы сегодняшнего дня. Закрытость информации (privacy): юридические и регулирующие требования. Защита от вирусов. Увольнения и переводы: необходимый компонент для полного контроля доступа. Доступ для лиц, не являющихся постоянными сотрудниками: контроль доступа консультантов, лиц, занятых по договорам, клиентов и других. Архивация и восстановление: удовлетворение требований организации к восстанавливаемости бизнеса.</t>
        </is>
      </c>
      <c r="B2343" s="2" t="n"/>
      <c r="C2343" s="2" t="n"/>
      <c r="D2343" s="2" t="n"/>
      <c r="E2343" s="2" t="n"/>
      <c r="F2343" s="2" t="n"/>
      <c r="G2343" s="2" t="n"/>
    </row>
    <row r="2344" ht="51" customHeight="1">
      <c r="A2344" s="3" t="inlineStr">
        <is>
          <t>ККС — Кибербезопасность корпоративных систем
Раздел: Правовые и организационные меры по обеспечению кибербезопасности · УТП: таблица 2, строка 12</t>
        </is>
      </c>
      <c r="B2344" s="4" t="n"/>
      <c r="C2344" s="4" t="n"/>
      <c r="D2344" s="4" t="n"/>
      <c r="E2344" s="4" t="n"/>
      <c r="F2344" s="4" t="n"/>
      <c r="G2344" s="4" t="n"/>
    </row>
    <row r="2345" ht="30" customHeight="1">
      <c r="A2345" s="3" t="inlineStr">
        <is>
          <t>В программе: Тема 3. Разработка и документирование политик информационной безопасности (4 часа лекции).</t>
        </is>
      </c>
      <c r="B2345" s="4" t="n"/>
      <c r="C2345" s="4" t="n"/>
      <c r="D2345" s="4" t="n"/>
      <c r="E2345" s="4" t="n"/>
      <c r="F2345" s="4" t="n"/>
      <c r="G2345" s="4" t="n"/>
    </row>
    <row r="2346" ht="25" customHeight="1">
      <c r="A2346" s="23" t="inlineStr">
        <is>
          <t>Исходная программа ККС ↗</t>
        </is>
      </c>
      <c r="D2346" s="23" t="inlineStr">
        <is>
          <t>Исходный УТП ККС ↗</t>
        </is>
      </c>
    </row>
    <row r="2347" ht="27" customHeight="1">
      <c r="A2347" s="24">
        <f>HYPERLINK("#'Выбор тем'!E"&amp;MATCH("T-F21D19B1",'Выбор тем'!$A:$A,0),"← Вернуться к теме")</f>
        <v/>
      </c>
    </row>
    <row r="2349" ht="38" customHeight="1">
      <c r="A2349" s="18" t="inlineStr">
        <is>
          <t>Разработка политики информационной безопасности</t>
        </is>
      </c>
      <c r="B2349" s="19" t="n"/>
      <c r="C2349" s="19" t="n"/>
      <c r="D2349" s="19" t="n"/>
      <c r="E2349" s="19" t="n"/>
      <c r="F2349" s="19" t="n"/>
      <c r="G2349" s="19" t="n"/>
    </row>
    <row r="2350" ht="26" customHeight="1">
      <c r="A2350" s="3" t="inlineStr">
        <is>
          <t>T-44695169 · Программы: ПСАЭ</t>
        </is>
      </c>
      <c r="B2350" s="4" t="n"/>
      <c r="C2350" s="4" t="n"/>
      <c r="D2350" s="4" t="n"/>
      <c r="E2350" s="4" t="n"/>
      <c r="F2350" s="4" t="n"/>
      <c r="G2350" s="4" t="n"/>
    </row>
    <row r="2351" ht="27" customHeight="1">
      <c r="A2351" s="20" t="inlineStr">
        <is>
          <t>Вариант для: ПСАЭ</t>
        </is>
      </c>
      <c r="B2351" s="21" t="n"/>
      <c r="C2351" s="21" t="n"/>
      <c r="D2351" s="21" t="n"/>
      <c r="E2351" s="21" t="n"/>
      <c r="F2351" s="21" t="n"/>
      <c r="G2351" s="21" t="n"/>
    </row>
    <row r="2352" ht="31" customHeight="1">
      <c r="A2352"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52" s="26" t="n"/>
      <c r="C2352" s="26" t="n"/>
      <c r="D2352" s="26" t="n"/>
      <c r="E2352" s="26" t="n"/>
      <c r="F2352" s="26" t="n"/>
      <c r="G2352" s="26" t="n"/>
    </row>
    <row r="2353" ht="32" customHeight="1">
      <c r="A2353" s="22" t="inlineStr">
        <is>
          <t>Обследование и анализ исходных данных на информационную систему.</t>
        </is>
      </c>
      <c r="B2353" s="2" t="n"/>
      <c r="C2353" s="2" t="n"/>
      <c r="D2353" s="2" t="n"/>
      <c r="E2353" s="2" t="n"/>
      <c r="F2353" s="2" t="n"/>
      <c r="G2353" s="2" t="n"/>
    </row>
    <row r="2354" ht="32" customHeight="1">
      <c r="A2354" s="22" t="inlineStr">
        <is>
          <t>Классификация информационной системы.</t>
        </is>
      </c>
      <c r="B2354" s="2" t="n"/>
      <c r="C2354" s="2" t="n"/>
      <c r="D2354" s="2" t="n"/>
      <c r="E2354" s="2" t="n"/>
      <c r="F2354" s="2" t="n"/>
      <c r="G2354" s="2" t="n"/>
    </row>
    <row r="2355" ht="32" customHeight="1">
      <c r="A2355" s="22" t="inlineStr">
        <is>
          <t>Разработка политики информационной безопасности.</t>
        </is>
      </c>
      <c r="B2355" s="2" t="n"/>
      <c r="C2355" s="2" t="n"/>
      <c r="D2355" s="2" t="n"/>
      <c r="E2355" s="2" t="n"/>
      <c r="F2355" s="2" t="n"/>
      <c r="G2355" s="2" t="n"/>
    </row>
    <row r="2356" ht="32" customHeight="1">
      <c r="A2356" s="22" t="inlineStr">
        <is>
          <t>Разработка технического задания на создание системы защиты информации.</t>
        </is>
      </c>
      <c r="B2356" s="2" t="n"/>
      <c r="C2356" s="2" t="n"/>
      <c r="D2356" s="2" t="n"/>
      <c r="E2356" s="2" t="n"/>
      <c r="F2356" s="2" t="n"/>
      <c r="G2356" s="2" t="n"/>
    </row>
    <row r="2357" ht="51" customHeight="1">
      <c r="A2357"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14</t>
        </is>
      </c>
      <c r="B2357" s="4" t="n"/>
      <c r="C2357" s="4" t="n"/>
      <c r="D2357" s="4" t="n"/>
      <c r="E2357" s="4" t="n"/>
      <c r="F2357" s="4" t="n"/>
      <c r="G2357" s="4" t="n"/>
    </row>
    <row r="2358" ht="30" customHeight="1">
      <c r="A2358" s="3" t="inlineStr">
        <is>
          <t>В программе: Тема 3. Практикум (8 часов практические занятия).</t>
        </is>
      </c>
      <c r="B2358" s="4" t="n"/>
      <c r="C2358" s="4" t="n"/>
      <c r="D2358" s="4" t="n"/>
      <c r="E2358" s="4" t="n"/>
      <c r="F2358" s="4" t="n"/>
      <c r="G2358" s="4" t="n"/>
    </row>
    <row r="2359" ht="25" customHeight="1">
      <c r="A2359" s="23" t="inlineStr">
        <is>
          <t>Исходная программа ПСАЭ ↗</t>
        </is>
      </c>
      <c r="D2359" s="23" t="inlineStr">
        <is>
          <t>Исходный УТП ПСАЭ ↗</t>
        </is>
      </c>
    </row>
    <row r="2360" ht="27" customHeight="1">
      <c r="A2360" s="24">
        <f>HYPERLINK("#'Выбор тем'!E"&amp;MATCH("T-44695169",'Выбор тем'!$A:$A,0),"← Вернуться к теме")</f>
        <v/>
      </c>
    </row>
    <row r="2362" ht="38" customHeight="1">
      <c r="A2362" s="18" t="inlineStr">
        <is>
          <t>Разработка предложений (проектных решений) по цифровой трансформации</t>
        </is>
      </c>
      <c r="B2362" s="19" t="n"/>
      <c r="C2362" s="19" t="n"/>
      <c r="D2362" s="19" t="n"/>
      <c r="E2362" s="19" t="n"/>
      <c r="F2362" s="19" t="n"/>
      <c r="G2362" s="19" t="n"/>
    </row>
    <row r="2363" ht="26" customHeight="1">
      <c r="A2363" s="3" t="inlineStr">
        <is>
          <t>T-356EA386 · Программы: ЦТГУ</t>
        </is>
      </c>
      <c r="B2363" s="4" t="n"/>
      <c r="C2363" s="4" t="n"/>
      <c r="D2363" s="4" t="n"/>
      <c r="E2363" s="4" t="n"/>
      <c r="F2363" s="4" t="n"/>
      <c r="G2363" s="4" t="n"/>
    </row>
    <row r="2364" ht="27" customHeight="1">
      <c r="A2364" s="20" t="inlineStr">
        <is>
          <t>Вариант для: ЦТГУ</t>
        </is>
      </c>
      <c r="B2364" s="21" t="n"/>
      <c r="C2364" s="21" t="n"/>
      <c r="D2364" s="21" t="n"/>
      <c r="E2364" s="21" t="n"/>
      <c r="F2364" s="21" t="n"/>
      <c r="G2364" s="21" t="n"/>
    </row>
    <row r="2365" ht="48" customHeight="1">
      <c r="A2365" s="22" t="inlineStr">
        <is>
          <t>Выбор кейса (жизненная или деловая ситуация). Формулирование цели и ожидаемых эффектов. Описание текущего процесса или проблемы. Разработка цифрового решения с учетом требований к данным, сервисам, безопасности и суверенитету. Подготовка материалов к защите.</t>
        </is>
      </c>
      <c r="B2365" s="2" t="n"/>
      <c r="C2365" s="2" t="n"/>
      <c r="D2365" s="2" t="n"/>
      <c r="E2365" s="2" t="n"/>
      <c r="F2365" s="2" t="n"/>
      <c r="G2365" s="2" t="n"/>
    </row>
    <row r="2366" ht="51" customHeight="1">
      <c r="A2366" s="3" t="inlineStr">
        <is>
          <t>ЦТГУ — Цифровая трансформация государственного управления
Раздел: Практический блок · УТП: таблица 2, строка 27</t>
        </is>
      </c>
      <c r="B2366" s="4" t="n"/>
      <c r="C2366" s="4" t="n"/>
      <c r="D2366" s="4" t="n"/>
      <c r="E2366" s="4" t="n"/>
      <c r="F2366" s="4" t="n"/>
      <c r="G2366" s="4" t="n"/>
    </row>
    <row r="2367" ht="30" customHeight="1">
      <c r="A2367" s="3" t="inlineStr">
        <is>
          <t>В программе: Тема 1. Разработка предложений (проектных решений) по цифровой трансформации (2 часа практические занятия).</t>
        </is>
      </c>
      <c r="B2367" s="4" t="n"/>
      <c r="C2367" s="4" t="n"/>
      <c r="D2367" s="4" t="n"/>
      <c r="E2367" s="4" t="n"/>
      <c r="F2367" s="4" t="n"/>
      <c r="G2367" s="4" t="n"/>
    </row>
    <row r="2368" ht="25" customHeight="1">
      <c r="A2368" s="23" t="inlineStr">
        <is>
          <t>Исходная программа ЦТГУ ↗</t>
        </is>
      </c>
      <c r="D2368" s="23" t="inlineStr">
        <is>
          <t>Исходный УТП ЦТГУ ↗</t>
        </is>
      </c>
    </row>
    <row r="2369" ht="27" customHeight="1">
      <c r="A2369" s="24">
        <f>HYPERLINK("#'Выбор тем'!E"&amp;MATCH("T-356EA386",'Выбор тем'!$A:$A,0),"← Вернуться к теме")</f>
        <v/>
      </c>
    </row>
    <row r="2371" ht="38" customHeight="1">
      <c r="A2371" s="18" t="inlineStr">
        <is>
          <t>Разработка программы и методики аттестации</t>
        </is>
      </c>
      <c r="B2371" s="19" t="n"/>
      <c r="C2371" s="19" t="n"/>
      <c r="D2371" s="19" t="n"/>
      <c r="E2371" s="19" t="n"/>
      <c r="F2371" s="19" t="n"/>
      <c r="G2371" s="19" t="n"/>
    </row>
    <row r="2372" ht="26" customHeight="1">
      <c r="A2372" s="3" t="inlineStr">
        <is>
          <t>T-FEC6B01F · Программы: ПСАЭ</t>
        </is>
      </c>
      <c r="B2372" s="4" t="n"/>
      <c r="C2372" s="4" t="n"/>
      <c r="D2372" s="4" t="n"/>
      <c r="E2372" s="4" t="n"/>
      <c r="F2372" s="4" t="n"/>
      <c r="G2372" s="4" t="n"/>
    </row>
    <row r="2373" ht="27" customHeight="1">
      <c r="A2373" s="20" t="inlineStr">
        <is>
          <t>Вариант для: ПСАЭ</t>
        </is>
      </c>
      <c r="B2373" s="21" t="n"/>
      <c r="C2373" s="21" t="n"/>
      <c r="D2373" s="21" t="n"/>
      <c r="E2373" s="21" t="n"/>
      <c r="F2373" s="21" t="n"/>
      <c r="G2373" s="21" t="n"/>
    </row>
    <row r="2374" ht="31" customHeight="1">
      <c r="A2374"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74" s="26" t="n"/>
      <c r="C2374" s="26" t="n"/>
      <c r="D2374" s="26" t="n"/>
      <c r="E2374" s="26" t="n"/>
      <c r="F2374" s="26" t="n"/>
      <c r="G2374" s="26" t="n"/>
    </row>
    <row r="2375" ht="32" customHeight="1">
      <c r="A2375" s="22" t="inlineStr">
        <is>
          <t>Разработка программы и методики аттестации.</t>
        </is>
      </c>
      <c r="B2375" s="2" t="n"/>
      <c r="C2375" s="2" t="n"/>
      <c r="D2375" s="2" t="n"/>
      <c r="E2375" s="2" t="n"/>
      <c r="F2375" s="2" t="n"/>
      <c r="G2375" s="2" t="n"/>
    </row>
    <row r="2376" ht="32" customHeight="1">
      <c r="A2376" s="22" t="inlineStr">
        <is>
          <t>Разработка технического отчета и протокола испытаний.</t>
        </is>
      </c>
      <c r="B2376" s="2" t="n"/>
      <c r="C2376" s="2" t="n"/>
      <c r="D2376" s="2" t="n"/>
      <c r="E2376" s="2" t="n"/>
      <c r="F2376" s="2" t="n"/>
      <c r="G2376" s="2" t="n"/>
    </row>
    <row r="2377" ht="51" customHeight="1">
      <c r="A2377" s="3" t="inlineStr">
        <is>
          <t>ПСАЭ — Проектирование, создание, аттестация и эксплуатация систем защиты информации
Раздел: Аттестация системы защиты информации организации · УТП: таблица 2, строка 31</t>
        </is>
      </c>
      <c r="B2377" s="4" t="n"/>
      <c r="C2377" s="4" t="n"/>
      <c r="D2377" s="4" t="n"/>
      <c r="E2377" s="4" t="n"/>
      <c r="F2377" s="4" t="n"/>
      <c r="G2377" s="4" t="n"/>
    </row>
    <row r="2378" ht="30" customHeight="1">
      <c r="A2378" s="3" t="inlineStr">
        <is>
          <t>В программе: Тема 1. Практикум (6 часов практические занятия).</t>
        </is>
      </c>
      <c r="B2378" s="4" t="n"/>
      <c r="C2378" s="4" t="n"/>
      <c r="D2378" s="4" t="n"/>
      <c r="E2378" s="4" t="n"/>
      <c r="F2378" s="4" t="n"/>
      <c r="G2378" s="4" t="n"/>
    </row>
    <row r="2379" ht="25" customHeight="1">
      <c r="A2379" s="23" t="inlineStr">
        <is>
          <t>Исходная программа ПСАЭ ↗</t>
        </is>
      </c>
      <c r="D2379" s="23" t="inlineStr">
        <is>
          <t>Исходный УТП ПСАЭ ↗</t>
        </is>
      </c>
    </row>
    <row r="2380" ht="27" customHeight="1">
      <c r="A2380" s="24">
        <f>HYPERLINK("#'Выбор тем'!E"&amp;MATCH("T-FEC6B01F",'Выбор тем'!$A:$A,0),"← Вернуться к теме")</f>
        <v/>
      </c>
    </row>
    <row r="2382" ht="38" customHeight="1">
      <c r="A2382" s="18" t="inlineStr">
        <is>
          <t>Разработка структурной и логической схем системы защиты информации</t>
        </is>
      </c>
      <c r="B2382" s="19" t="n"/>
      <c r="C2382" s="19" t="n"/>
      <c r="D2382" s="19" t="n"/>
      <c r="E2382" s="19" t="n"/>
      <c r="F2382" s="19" t="n"/>
      <c r="G2382" s="19" t="n"/>
    </row>
    <row r="2383" ht="26" customHeight="1">
      <c r="A2383" s="3" t="inlineStr">
        <is>
          <t>T-6AE9A30B · Программы: ПСАЭ</t>
        </is>
      </c>
      <c r="B2383" s="4" t="n"/>
      <c r="C2383" s="4" t="n"/>
      <c r="D2383" s="4" t="n"/>
      <c r="E2383" s="4" t="n"/>
      <c r="F2383" s="4" t="n"/>
      <c r="G2383" s="4" t="n"/>
    </row>
    <row r="2384" ht="27" customHeight="1">
      <c r="A2384" s="20" t="inlineStr">
        <is>
          <t>Вариант для: ПСАЭ</t>
        </is>
      </c>
      <c r="B2384" s="21" t="n"/>
      <c r="C2384" s="21" t="n"/>
      <c r="D2384" s="21" t="n"/>
      <c r="E2384" s="21" t="n"/>
      <c r="F2384" s="21" t="n"/>
      <c r="G2384" s="21" t="n"/>
    </row>
    <row r="2385" ht="31" customHeight="1">
      <c r="A2385"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85" s="26" t="n"/>
      <c r="C2385" s="26" t="n"/>
      <c r="D2385" s="26" t="n"/>
      <c r="E2385" s="26" t="n"/>
      <c r="F2385" s="26" t="n"/>
      <c r="G2385" s="26" t="n"/>
    </row>
    <row r="2386" ht="32" customHeight="1">
      <c r="A2386" s="22" t="inlineStr">
        <is>
          <t>Разработка структурной и логической схем системы защиты информации.</t>
        </is>
      </c>
      <c r="B2386" s="2" t="n"/>
      <c r="C2386" s="2" t="n"/>
      <c r="D2386" s="2" t="n"/>
      <c r="E2386" s="2" t="n"/>
      <c r="F2386" s="2" t="n"/>
      <c r="G2386" s="2" t="n"/>
    </row>
    <row r="2387" ht="32" customHeight="1">
      <c r="A2387" s="22" t="inlineStr">
        <is>
          <t>Определение перечня и разработка локальных правовых актов, регламентирующих вопросы защиты информации.</t>
        </is>
      </c>
      <c r="B2387" s="2" t="n"/>
      <c r="C2387" s="2" t="n"/>
      <c r="D2387" s="2" t="n"/>
      <c r="E2387" s="2" t="n"/>
      <c r="F2387" s="2" t="n"/>
      <c r="G2387" s="2" t="n"/>
    </row>
    <row r="2388" ht="32" customHeight="1">
      <c r="A2388" s="22" t="inlineStr">
        <is>
          <t>Подготовка исходных данных к проведению аттестации системы защиты информации.</t>
        </is>
      </c>
      <c r="B2388" s="2" t="n"/>
      <c r="C2388" s="2" t="n"/>
      <c r="D2388" s="2" t="n"/>
      <c r="E2388" s="2" t="n"/>
      <c r="F2388" s="2" t="n"/>
      <c r="G2388" s="2" t="n"/>
    </row>
    <row r="2389" ht="51" customHeight="1">
      <c r="A2389"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26</t>
        </is>
      </c>
      <c r="B2389" s="4" t="n"/>
      <c r="C2389" s="4" t="n"/>
      <c r="D2389" s="4" t="n"/>
      <c r="E2389" s="4" t="n"/>
      <c r="F2389" s="4" t="n"/>
      <c r="G2389" s="4" t="n"/>
    </row>
    <row r="2390" ht="30" customHeight="1">
      <c r="A2390" s="3" t="inlineStr">
        <is>
          <t>В программе: Тема 9. Практикум (6 часов практические занятия).</t>
        </is>
      </c>
      <c r="B2390" s="4" t="n"/>
      <c r="C2390" s="4" t="n"/>
      <c r="D2390" s="4" t="n"/>
      <c r="E2390" s="4" t="n"/>
      <c r="F2390" s="4" t="n"/>
      <c r="G2390" s="4" t="n"/>
    </row>
    <row r="2391" ht="25" customHeight="1">
      <c r="A2391" s="23" t="inlineStr">
        <is>
          <t>Исходная программа ПСАЭ ↗</t>
        </is>
      </c>
      <c r="D2391" s="23" t="inlineStr">
        <is>
          <t>Исходный УТП ПСАЭ ↗</t>
        </is>
      </c>
    </row>
    <row r="2392" ht="27" customHeight="1">
      <c r="A2392" s="24">
        <f>HYPERLINK("#'Выбор тем'!E"&amp;MATCH("T-6AE9A30B",'Выбор тем'!$A:$A,0),"← Вернуться к теме")</f>
        <v/>
      </c>
    </row>
    <row r="2394" ht="38" customHeight="1">
      <c r="A2394" s="18" t="inlineStr">
        <is>
          <t>Разработка технического задания на создание системы защиты информации</t>
        </is>
      </c>
      <c r="B2394" s="19" t="n"/>
      <c r="C2394" s="19" t="n"/>
      <c r="D2394" s="19" t="n"/>
      <c r="E2394" s="19" t="n"/>
      <c r="F2394" s="19" t="n"/>
      <c r="G2394" s="19" t="n"/>
    </row>
    <row r="2395" ht="26" customHeight="1">
      <c r="A2395" s="3" t="inlineStr">
        <is>
          <t>T-26DD464B · Программы: ПСАЭ</t>
        </is>
      </c>
      <c r="B2395" s="4" t="n"/>
      <c r="C2395" s="4" t="n"/>
      <c r="D2395" s="4" t="n"/>
      <c r="E2395" s="4" t="n"/>
      <c r="F2395" s="4" t="n"/>
      <c r="G2395" s="4" t="n"/>
    </row>
    <row r="2396" ht="27" customHeight="1">
      <c r="A2396" s="20" t="inlineStr">
        <is>
          <t>Вариант для: ПСАЭ</t>
        </is>
      </c>
      <c r="B2396" s="21" t="n"/>
      <c r="C2396" s="21" t="n"/>
      <c r="D2396" s="21" t="n"/>
      <c r="E2396" s="21" t="n"/>
      <c r="F2396" s="21" t="n"/>
      <c r="G2396" s="21" t="n"/>
    </row>
    <row r="2397" ht="31" customHeight="1">
      <c r="A2397"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397" s="26" t="n"/>
      <c r="C2397" s="26" t="n"/>
      <c r="D2397" s="26" t="n"/>
      <c r="E2397" s="26" t="n"/>
      <c r="F2397" s="26" t="n"/>
      <c r="G2397" s="26" t="n"/>
    </row>
    <row r="2398" ht="32" customHeight="1">
      <c r="A2398" s="22" t="inlineStr">
        <is>
          <t>Обследование и анализ исходных данных на информационную систему.</t>
        </is>
      </c>
      <c r="B2398" s="2" t="n"/>
      <c r="C2398" s="2" t="n"/>
      <c r="D2398" s="2" t="n"/>
      <c r="E2398" s="2" t="n"/>
      <c r="F2398" s="2" t="n"/>
      <c r="G2398" s="2" t="n"/>
    </row>
    <row r="2399" ht="32" customHeight="1">
      <c r="A2399" s="22" t="inlineStr">
        <is>
          <t>Классификация информационной системы.</t>
        </is>
      </c>
      <c r="B2399" s="2" t="n"/>
      <c r="C2399" s="2" t="n"/>
      <c r="D2399" s="2" t="n"/>
      <c r="E2399" s="2" t="n"/>
      <c r="F2399" s="2" t="n"/>
      <c r="G2399" s="2" t="n"/>
    </row>
    <row r="2400" ht="32" customHeight="1">
      <c r="A2400" s="22" t="inlineStr">
        <is>
          <t>Разработка политики информационной безопасности.</t>
        </is>
      </c>
      <c r="B2400" s="2" t="n"/>
      <c r="C2400" s="2" t="n"/>
      <c r="D2400" s="2" t="n"/>
      <c r="E2400" s="2" t="n"/>
      <c r="F2400" s="2" t="n"/>
      <c r="G2400" s="2" t="n"/>
    </row>
    <row r="2401" ht="32" customHeight="1">
      <c r="A2401" s="22" t="inlineStr">
        <is>
          <t>Разработка технического задания на создание системы защиты информации.</t>
        </is>
      </c>
      <c r="B2401" s="2" t="n"/>
      <c r="C2401" s="2" t="n"/>
      <c r="D2401" s="2" t="n"/>
      <c r="E2401" s="2" t="n"/>
      <c r="F2401" s="2" t="n"/>
      <c r="G2401" s="2" t="n"/>
    </row>
    <row r="2402" ht="51" customHeight="1">
      <c r="A2402"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15</t>
        </is>
      </c>
      <c r="B2402" s="4" t="n"/>
      <c r="C2402" s="4" t="n"/>
      <c r="D2402" s="4" t="n"/>
      <c r="E2402" s="4" t="n"/>
      <c r="F2402" s="4" t="n"/>
      <c r="G2402" s="4" t="n"/>
    </row>
    <row r="2403" ht="30" customHeight="1">
      <c r="A2403" s="3" t="inlineStr">
        <is>
          <t>В программе: Тема 3. Практикум (8 часов практические занятия).</t>
        </is>
      </c>
      <c r="B2403" s="4" t="n"/>
      <c r="C2403" s="4" t="n"/>
      <c r="D2403" s="4" t="n"/>
      <c r="E2403" s="4" t="n"/>
      <c r="F2403" s="4" t="n"/>
      <c r="G2403" s="4" t="n"/>
    </row>
    <row r="2404" ht="25" customHeight="1">
      <c r="A2404" s="23" t="inlineStr">
        <is>
          <t>Исходная программа ПСАЭ ↗</t>
        </is>
      </c>
      <c r="D2404" s="23" t="inlineStr">
        <is>
          <t>Исходный УТП ПСАЭ ↗</t>
        </is>
      </c>
    </row>
    <row r="2405" ht="27" customHeight="1">
      <c r="A2405" s="24">
        <f>HYPERLINK("#'Выбор тем'!E"&amp;MATCH("T-26DD464B",'Выбор тем'!$A:$A,0),"← Вернуться к теме")</f>
        <v/>
      </c>
    </row>
    <row r="2407" ht="38" customHeight="1">
      <c r="A2407" s="18" t="inlineStr">
        <is>
          <t>Разработка технического задания, программы и методики испытаний, технического отчета и протокола испытаний</t>
        </is>
      </c>
      <c r="B2407" s="19" t="n"/>
      <c r="C2407" s="19" t="n"/>
      <c r="D2407" s="19" t="n"/>
      <c r="E2407" s="19" t="n"/>
      <c r="F2407" s="19" t="n"/>
      <c r="G2407" s="19" t="n"/>
    </row>
    <row r="2408" ht="26" customHeight="1">
      <c r="A2408" s="3" t="inlineStr">
        <is>
          <t>T-02668D31 · Программы: ЗИОЗ, ТЗПД</t>
        </is>
      </c>
      <c r="B2408" s="4" t="n"/>
      <c r="C2408" s="4" t="n"/>
      <c r="D2408" s="4" t="n"/>
      <c r="E2408" s="4" t="n"/>
      <c r="F2408" s="4" t="n"/>
      <c r="G2408" s="4" t="n"/>
    </row>
    <row r="2409" ht="27" customHeight="1">
      <c r="A2409" s="20" t="inlineStr">
        <is>
          <t>Вариант для: ЗИОЗ, ТЗПД</t>
        </is>
      </c>
      <c r="B2409" s="21" t="n"/>
      <c r="C2409" s="21" t="n"/>
      <c r="D2409" s="21" t="n"/>
      <c r="E2409" s="21" t="n"/>
      <c r="F2409" s="21" t="n"/>
      <c r="G2409" s="21" t="n"/>
    </row>
    <row r="2410" ht="48" customHeight="1">
      <c r="A2410" s="22" t="inlineStr">
        <is>
          <t>Разработка технического задания, программы и методики аттестации. Проверка достаточности реализованных в системе защиты информации мер по защите информации. Оформление технического отчета и протокола испытаний. Оформление аттестата соответствия.</t>
        </is>
      </c>
      <c r="B2410" s="2" t="n"/>
      <c r="C2410" s="2" t="n"/>
      <c r="D2410" s="2" t="n"/>
      <c r="E2410" s="2" t="n"/>
      <c r="F2410" s="2" t="n"/>
      <c r="G2410" s="2" t="n"/>
    </row>
    <row r="2411" ht="51" customHeight="1">
      <c r="A2411"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14</t>
        </is>
      </c>
      <c r="B2411" s="4" t="n"/>
      <c r="C2411" s="4" t="n"/>
      <c r="D2411" s="4" t="n"/>
      <c r="E2411" s="4" t="n"/>
      <c r="F2411" s="4" t="n"/>
      <c r="G2411" s="4" t="n"/>
    </row>
    <row r="2412" ht="30" customHeight="1">
      <c r="A2412" s="3" t="inlineStr">
        <is>
          <t>В программе: Тема 2. Разработка технического задания, программы и методики испытаний, технического отчета и протокола испытаний (4 часа практические занятия).</t>
        </is>
      </c>
      <c r="B2412" s="4" t="n"/>
      <c r="C2412" s="4" t="n"/>
      <c r="D2412" s="4" t="n"/>
      <c r="E2412" s="4" t="n"/>
      <c r="F2412" s="4" t="n"/>
      <c r="G2412" s="4" t="n"/>
    </row>
    <row r="2413" ht="25" customHeight="1">
      <c r="A2413" s="23" t="inlineStr">
        <is>
          <t>Исходная программа ЗИОЗ ↗</t>
        </is>
      </c>
      <c r="D2413" s="23" t="inlineStr">
        <is>
          <t>Исходный УТП ЗИОЗ ↗</t>
        </is>
      </c>
    </row>
    <row r="2414" ht="51" customHeight="1">
      <c r="A2414" s="3" t="inlineStr">
        <is>
          <t>ТЗПД — Техническая защита персональных данных
Раздел: Практические аспекты обеспечения кибербезопасности · УТП: таблица 2, строка 17</t>
        </is>
      </c>
      <c r="B2414" s="4" t="n"/>
      <c r="C2414" s="4" t="n"/>
      <c r="D2414" s="4" t="n"/>
      <c r="E2414" s="4" t="n"/>
      <c r="F2414" s="4" t="n"/>
      <c r="G2414" s="4" t="n"/>
    </row>
    <row r="2415" ht="30" customHeight="1">
      <c r="A2415" s="3" t="inlineStr">
        <is>
          <t>В программе: Тема 4. Разработка технического задания, программы и методики испытаний, технического отчета и протокола испытаний (4 часа практические занятия).</t>
        </is>
      </c>
      <c r="B2415" s="4" t="n"/>
      <c r="C2415" s="4" t="n"/>
      <c r="D2415" s="4" t="n"/>
      <c r="E2415" s="4" t="n"/>
      <c r="F2415" s="4" t="n"/>
      <c r="G2415" s="4" t="n"/>
    </row>
    <row r="2416" ht="25" customHeight="1">
      <c r="A2416" s="23" t="inlineStr">
        <is>
          <t>Исходная программа ТЗПД ↗</t>
        </is>
      </c>
      <c r="D2416" s="23" t="inlineStr">
        <is>
          <t>Исходный УТП ТЗПД ↗</t>
        </is>
      </c>
    </row>
    <row r="2417" ht="27" customHeight="1">
      <c r="A2417" s="24">
        <f>HYPERLINK("#'Выбор тем'!E"&amp;MATCH("T-02668D31",'Выбор тем'!$A:$A,0),"← Вернуться к теме")</f>
        <v/>
      </c>
    </row>
    <row r="2419" ht="38" customHeight="1">
      <c r="A2419" s="18" t="inlineStr">
        <is>
          <t>Разработка технического отчета и протокола испытаний</t>
        </is>
      </c>
      <c r="B2419" s="19" t="n"/>
      <c r="C2419" s="19" t="n"/>
      <c r="D2419" s="19" t="n"/>
      <c r="E2419" s="19" t="n"/>
      <c r="F2419" s="19" t="n"/>
      <c r="G2419" s="19" t="n"/>
    </row>
    <row r="2420" ht="26" customHeight="1">
      <c r="A2420" s="3" t="inlineStr">
        <is>
          <t>T-6ED2200F · Программы: ПСАЭ</t>
        </is>
      </c>
      <c r="B2420" s="4" t="n"/>
      <c r="C2420" s="4" t="n"/>
      <c r="D2420" s="4" t="n"/>
      <c r="E2420" s="4" t="n"/>
      <c r="F2420" s="4" t="n"/>
      <c r="G2420" s="4" t="n"/>
    </row>
    <row r="2421" ht="27" customHeight="1">
      <c r="A2421" s="20" t="inlineStr">
        <is>
          <t>Вариант для: ПСАЭ</t>
        </is>
      </c>
      <c r="B2421" s="21" t="n"/>
      <c r="C2421" s="21" t="n"/>
      <c r="D2421" s="21" t="n"/>
      <c r="E2421" s="21" t="n"/>
      <c r="F2421" s="21" t="n"/>
      <c r="G2421" s="21" t="n"/>
    </row>
    <row r="2422" ht="31" customHeight="1">
      <c r="A2422" s="25" t="inlineStr">
        <is>
          <t>В программе тема перечислена как задание общего практикума. Отдельного развёрнутого описания нет; приведён общий контекст, включающий другие задания.</t>
        </is>
      </c>
      <c r="B2422" s="26" t="n"/>
      <c r="C2422" s="26" t="n"/>
      <c r="D2422" s="26" t="n"/>
      <c r="E2422" s="26" t="n"/>
      <c r="F2422" s="26" t="n"/>
      <c r="G2422" s="26" t="n"/>
    </row>
    <row r="2423" ht="32" customHeight="1">
      <c r="A2423" s="22" t="inlineStr">
        <is>
          <t>Разработка программы и методики аттестации.</t>
        </is>
      </c>
      <c r="B2423" s="2" t="n"/>
      <c r="C2423" s="2" t="n"/>
      <c r="D2423" s="2" t="n"/>
      <c r="E2423" s="2" t="n"/>
      <c r="F2423" s="2" t="n"/>
      <c r="G2423" s="2" t="n"/>
    </row>
    <row r="2424" ht="32" customHeight="1">
      <c r="A2424" s="22" t="inlineStr">
        <is>
          <t>Разработка технического отчета и протокола испытаний.</t>
        </is>
      </c>
      <c r="B2424" s="2" t="n"/>
      <c r="C2424" s="2" t="n"/>
      <c r="D2424" s="2" t="n"/>
      <c r="E2424" s="2" t="n"/>
      <c r="F2424" s="2" t="n"/>
      <c r="G2424" s="2" t="n"/>
    </row>
    <row r="2425" ht="51" customHeight="1">
      <c r="A2425" s="3" t="inlineStr">
        <is>
          <t>ПСАЭ — Проектирование, создание, аттестация и эксплуатация систем защиты информации
Раздел: Аттестация системы защиты информации организации · УТП: таблица 2, строка 32</t>
        </is>
      </c>
      <c r="B2425" s="4" t="n"/>
      <c r="C2425" s="4" t="n"/>
      <c r="D2425" s="4" t="n"/>
      <c r="E2425" s="4" t="n"/>
      <c r="F2425" s="4" t="n"/>
      <c r="G2425" s="4" t="n"/>
    </row>
    <row r="2426" ht="30" customHeight="1">
      <c r="A2426" s="3" t="inlineStr">
        <is>
          <t>В программе: Тема 1. Практикум (6 часов практические занятия).</t>
        </is>
      </c>
      <c r="B2426" s="4" t="n"/>
      <c r="C2426" s="4" t="n"/>
      <c r="D2426" s="4" t="n"/>
      <c r="E2426" s="4" t="n"/>
      <c r="F2426" s="4" t="n"/>
      <c r="G2426" s="4" t="n"/>
    </row>
    <row r="2427" ht="25" customHeight="1">
      <c r="A2427" s="23" t="inlineStr">
        <is>
          <t>Исходная программа ПСАЭ ↗</t>
        </is>
      </c>
      <c r="D2427" s="23" t="inlineStr">
        <is>
          <t>Исходный УТП ПСАЭ ↗</t>
        </is>
      </c>
    </row>
    <row r="2428" ht="27" customHeight="1">
      <c r="A2428" s="24">
        <f>HYPERLINK("#'Выбор тем'!E"&amp;MATCH("T-6ED2200F",'Выбор тем'!$A:$A,0),"← Вернуться к теме")</f>
        <v/>
      </c>
    </row>
    <row r="2430" ht="38" customHeight="1">
      <c r="A2430" s="18" t="inlineStr">
        <is>
          <t>Реагирование на киберинциденты</t>
        </is>
      </c>
      <c r="B2430" s="19" t="n"/>
      <c r="C2430" s="19" t="n"/>
      <c r="D2430" s="19" t="n"/>
      <c r="E2430" s="19" t="n"/>
      <c r="F2430" s="19" t="n"/>
      <c r="G2430" s="19" t="n"/>
    </row>
    <row r="2431" ht="26" customHeight="1">
      <c r="A2431" s="3" t="inlineStr">
        <is>
          <t>T-EA89BB86 · Программы: БКТ, ЗИОЗ, КВОИ</t>
        </is>
      </c>
      <c r="B2431" s="4" t="n"/>
      <c r="C2431" s="4" t="n"/>
      <c r="D2431" s="4" t="n"/>
      <c r="E2431" s="4" t="n"/>
      <c r="F2431" s="4" t="n"/>
      <c r="G2431" s="4" t="n"/>
    </row>
    <row r="2432" ht="27" customHeight="1">
      <c r="A2432" s="20" t="inlineStr">
        <is>
          <t>Вариант для: БКТ</t>
        </is>
      </c>
      <c r="B2432" s="21" t="n"/>
      <c r="C2432" s="21" t="n"/>
      <c r="D2432" s="21" t="n"/>
      <c r="E2432" s="21" t="n"/>
      <c r="F2432" s="21" t="n"/>
      <c r="G2432" s="21" t="n"/>
    </row>
    <row r="2433" ht="64" customHeight="1">
      <c r="A2433" s="22"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Национальный центр кибербезопасности. Национальная команда реагирования на киберинциденты. Оценка нанесенного ущерба. Требования по обеспечению сохранности сведений, необходимых для выявления индикаторов компрометации.</t>
        </is>
      </c>
      <c r="B2433" s="2" t="n"/>
      <c r="C2433" s="2" t="n"/>
      <c r="D2433" s="2" t="n"/>
      <c r="E2433" s="2" t="n"/>
      <c r="F2433" s="2" t="n"/>
      <c r="G2433" s="2" t="n"/>
    </row>
    <row r="2434" ht="48" customHeight="1">
      <c r="A2434" s="22" t="inlineStr">
        <is>
          <t>Уязвимости в программном обеспечении. Средства для оценки эффективности защищенности объектов информационной инфраструктуры от кибератак как технический инструмент автоматизации процессов выявления уязвимостей в программном обеспечении и минимизации рисков.</t>
        </is>
      </c>
      <c r="B2434" s="2" t="n"/>
      <c r="C2434" s="2" t="n"/>
      <c r="D2434" s="2" t="n"/>
      <c r="E2434" s="2" t="n"/>
      <c r="F2434" s="2" t="n"/>
      <c r="G2434" s="2" t="n"/>
    </row>
    <row r="2435" ht="32" customHeight="1">
      <c r="A2435" s="22" t="inlineStr">
        <is>
          <t>Вопросы круглого стола:</t>
        </is>
      </c>
      <c r="B2435" s="2" t="n"/>
      <c r="C2435" s="2" t="n"/>
      <c r="D2435" s="2" t="n"/>
      <c r="E2435" s="2" t="n"/>
      <c r="F2435" s="2" t="n"/>
      <c r="G2435" s="2" t="n"/>
    </row>
    <row r="2436" ht="32" customHeight="1">
      <c r="A2436" s="22" t="inlineStr">
        <is>
          <t>Устранение причин возникновения киберинцидентов.</t>
        </is>
      </c>
      <c r="B2436" s="2" t="n"/>
      <c r="C2436" s="2" t="n"/>
      <c r="D2436" s="2" t="n"/>
      <c r="E2436" s="2" t="n"/>
      <c r="F2436" s="2" t="n"/>
      <c r="G2436" s="2" t="n"/>
    </row>
    <row r="2437" ht="51" customHeight="1">
      <c r="A2437" s="3" t="inlineStr">
        <is>
          <t>БКТ — Безопасность компьютерных технологий
Раздел: Практические аспекты обеспечения кибербезопасности · УТП: таблица 2, строка 17</t>
        </is>
      </c>
      <c r="B2437" s="4" t="n"/>
      <c r="C2437" s="4" t="n"/>
      <c r="D2437" s="4" t="n"/>
      <c r="E2437" s="4" t="n"/>
      <c r="F2437" s="4" t="n"/>
      <c r="G2437" s="4" t="n"/>
    </row>
    <row r="2438" ht="30" customHeight="1">
      <c r="A2438" s="3" t="inlineStr">
        <is>
          <t>В программе: Тема 3. Реагирование на киберинциденты (3 часа лекции, 1 час круглый стол).</t>
        </is>
      </c>
      <c r="B2438" s="4" t="n"/>
      <c r="C2438" s="4" t="n"/>
      <c r="D2438" s="4" t="n"/>
      <c r="E2438" s="4" t="n"/>
      <c r="F2438" s="4" t="n"/>
      <c r="G2438" s="4" t="n"/>
    </row>
    <row r="2439" ht="25" customHeight="1">
      <c r="A2439" s="23" t="inlineStr">
        <is>
          <t>Исходная программа БКТ ↗</t>
        </is>
      </c>
      <c r="D2439" s="23" t="inlineStr">
        <is>
          <t>Исходный УТП БКТ ↗</t>
        </is>
      </c>
    </row>
    <row r="2440" ht="27" customHeight="1">
      <c r="A2440" s="20" t="inlineStr">
        <is>
          <t>Вариант для: ЗИОЗ</t>
        </is>
      </c>
      <c r="B2440" s="21" t="n"/>
      <c r="C2440" s="21" t="n"/>
      <c r="D2440" s="21" t="n"/>
      <c r="E2440" s="21" t="n"/>
      <c r="F2440" s="21" t="n"/>
      <c r="G2440" s="21" t="n"/>
    </row>
    <row r="2441" ht="64" customHeight="1">
      <c r="A2441" s="22"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2441" s="2" t="n"/>
      <c r="C2441" s="2" t="n"/>
      <c r="D2441" s="2" t="n"/>
      <c r="E2441" s="2" t="n"/>
      <c r="F2441" s="2" t="n"/>
      <c r="G2441" s="2" t="n"/>
    </row>
    <row r="2442" ht="48" customHeight="1">
      <c r="A2442" s="22" t="inlineStr">
        <is>
          <t>Уязвимости в программном обеспечении. Средства для оценки эффективности защищенности объектов информационной инфраструктуры от кибератак как технические инструменты автоматизации процессов выявления уязвимостей в программном обеспечении и минимизации рисков.</t>
        </is>
      </c>
      <c r="B2442" s="2" t="n"/>
      <c r="C2442" s="2" t="n"/>
      <c r="D2442" s="2" t="n"/>
      <c r="E2442" s="2" t="n"/>
      <c r="F2442" s="2" t="n"/>
      <c r="G2442" s="2" t="n"/>
    </row>
    <row r="2443" ht="32" customHeight="1">
      <c r="A2443" s="22" t="inlineStr">
        <is>
          <t>Вопросы тематической дискуссии:</t>
        </is>
      </c>
      <c r="B2443" s="2" t="n"/>
      <c r="C2443" s="2" t="n"/>
      <c r="D2443" s="2" t="n"/>
      <c r="E2443" s="2" t="n"/>
      <c r="F2443" s="2" t="n"/>
      <c r="G2443" s="2" t="n"/>
    </row>
    <row r="2444" ht="32" customHeight="1">
      <c r="A2444" s="22" t="inlineStr">
        <is>
          <t>Особенности взаимодействия с государственными органами и национальными структурами реагирования на киберинциденты.</t>
        </is>
      </c>
      <c r="B2444" s="2" t="n"/>
      <c r="C2444" s="2" t="n"/>
      <c r="D2444" s="2" t="n"/>
      <c r="E2444" s="2" t="n"/>
      <c r="F2444" s="2" t="n"/>
      <c r="G2444" s="2" t="n"/>
    </row>
    <row r="2445" ht="32" customHeight="1">
      <c r="A2445" s="22" t="inlineStr">
        <is>
          <t>Значение сохранности сведений о событиях кибербезопасности для выявления индикаторов компрометации и оценки ущерба.</t>
        </is>
      </c>
      <c r="B2445" s="2" t="n"/>
      <c r="C2445" s="2" t="n"/>
      <c r="D2445" s="2" t="n"/>
      <c r="E2445" s="2" t="n"/>
      <c r="F2445" s="2" t="n"/>
      <c r="G2445" s="2" t="n"/>
    </row>
    <row r="2446" ht="51" customHeight="1">
      <c r="A2446"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16</t>
        </is>
      </c>
      <c r="B2446" s="4" t="n"/>
      <c r="C2446" s="4" t="n"/>
      <c r="D2446" s="4" t="n"/>
      <c r="E2446" s="4" t="n"/>
      <c r="F2446" s="4" t="n"/>
      <c r="G2446" s="4" t="n"/>
    </row>
    <row r="2447" ht="30" customHeight="1">
      <c r="A2447" s="3" t="inlineStr">
        <is>
          <t>В программе: Тема 4. Реагирование на киберинциденты (3 часа лекции, 1 час тематическая дискуссия).</t>
        </is>
      </c>
      <c r="B2447" s="4" t="n"/>
      <c r="C2447" s="4" t="n"/>
      <c r="D2447" s="4" t="n"/>
      <c r="E2447" s="4" t="n"/>
      <c r="F2447" s="4" t="n"/>
      <c r="G2447" s="4" t="n"/>
    </row>
    <row r="2448" ht="25" customHeight="1">
      <c r="A2448" s="23" t="inlineStr">
        <is>
          <t>Исходная программа ЗИОЗ ↗</t>
        </is>
      </c>
      <c r="D2448" s="23" t="inlineStr">
        <is>
          <t>Исходный УТП ЗИОЗ ↗</t>
        </is>
      </c>
    </row>
    <row r="2449" ht="27" customHeight="1">
      <c r="A2449" s="20" t="inlineStr">
        <is>
          <t>Вариант для: КВОИ</t>
        </is>
      </c>
      <c r="B2449" s="21" t="n"/>
      <c r="C2449" s="21" t="n"/>
      <c r="D2449" s="21" t="n"/>
      <c r="E2449" s="21" t="n"/>
      <c r="F2449" s="21" t="n"/>
      <c r="G2449" s="21" t="n"/>
    </row>
    <row r="2450" ht="80" customHeight="1">
      <c r="A2450" s="22" t="inlineStr">
        <is>
          <t>Понятие киберинцидента. Основные виды кибератак, тактики и техники их проведения. Порядок реагирования на киберинциденты. Взаимодействие с государственными органами. Оперативно-аналитический центр при Президенте Республики Беларусь. Национальный центр кибербезопасности. Национальная команда реагирования на киберинциденты. Оценка нанесенного ущерба. Устранение причин возникновения киберинцидентов. Требования по обеспечению сохранности сведений, необходимых для выявления индикаторов компрометации.</t>
        </is>
      </c>
      <c r="B2450" s="2" t="n"/>
      <c r="C2450" s="2" t="n"/>
      <c r="D2450" s="2" t="n"/>
      <c r="E2450" s="2" t="n"/>
      <c r="F2450" s="2" t="n"/>
      <c r="G2450" s="2" t="n"/>
    </row>
    <row r="2451" ht="51" customHeight="1">
      <c r="A2451"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18</t>
        </is>
      </c>
      <c r="B2451" s="4" t="n"/>
      <c r="C2451" s="4" t="n"/>
      <c r="D2451" s="4" t="n"/>
      <c r="E2451" s="4" t="n"/>
      <c r="F2451" s="4" t="n"/>
      <c r="G2451" s="4" t="n"/>
    </row>
    <row r="2452" ht="30" customHeight="1">
      <c r="A2452" s="3" t="inlineStr">
        <is>
          <t>В программе: Тема 6. Реагирование на киберинциденты (2 часа лекции).</t>
        </is>
      </c>
      <c r="B2452" s="4" t="n"/>
      <c r="C2452" s="4" t="n"/>
      <c r="D2452" s="4" t="n"/>
      <c r="E2452" s="4" t="n"/>
      <c r="F2452" s="4" t="n"/>
      <c r="G2452" s="4" t="n"/>
    </row>
    <row r="2453" ht="25" customHeight="1">
      <c r="A2453" s="23" t="inlineStr">
        <is>
          <t>Исходная программа КВОИ ↗</t>
        </is>
      </c>
      <c r="D2453" s="23" t="inlineStr">
        <is>
          <t>Исходный УТП КВОИ ↗</t>
        </is>
      </c>
    </row>
    <row r="2454" ht="27" customHeight="1">
      <c r="A2454" s="24">
        <f>HYPERLINK("#'Выбор тем'!E"&amp;MATCH("T-EA89BB86",'Выбор тем'!$A:$A,0),"← Вернуться к теме")</f>
        <v/>
      </c>
    </row>
    <row r="2456" ht="38" customHeight="1">
      <c r="A2456" s="18" t="inlineStr">
        <is>
          <t>Реагирование на киберинциденты. Подготовительные, организационные и практические мероприятия</t>
        </is>
      </c>
      <c r="B2456" s="19" t="n"/>
      <c r="C2456" s="19" t="n"/>
      <c r="D2456" s="19" t="n"/>
      <c r="E2456" s="19" t="n"/>
      <c r="F2456" s="19" t="n"/>
      <c r="G2456" s="19" t="n"/>
    </row>
    <row r="2457" ht="26" customHeight="1">
      <c r="A2457" s="3" t="inlineStr">
        <is>
          <t>T-BEC1F534 · Программы: ОКБО</t>
        </is>
      </c>
      <c r="B2457" s="4" t="n"/>
      <c r="C2457" s="4" t="n"/>
      <c r="D2457" s="4" t="n"/>
      <c r="E2457" s="4" t="n"/>
      <c r="F2457" s="4" t="n"/>
      <c r="G2457" s="4" t="n"/>
    </row>
    <row r="2458" ht="27" customHeight="1">
      <c r="A2458" s="20" t="inlineStr">
        <is>
          <t>Вариант для: ОКБО</t>
        </is>
      </c>
      <c r="B2458" s="21" t="n"/>
      <c r="C2458" s="21" t="n"/>
      <c r="D2458" s="21" t="n"/>
      <c r="E2458" s="21" t="n"/>
      <c r="F2458" s="21" t="n"/>
      <c r="G2458" s="21" t="n"/>
    </row>
    <row r="2459" ht="31" customHeight="1">
      <c r="A2459" s="25" t="inlineStr">
        <is>
          <t>Названия в УТП и обновлённой программе различаются. Приведён фактический текст соответствующего раздела программы.</t>
        </is>
      </c>
      <c r="B2459" s="26" t="n"/>
      <c r="C2459" s="26" t="n"/>
      <c r="D2459" s="26" t="n"/>
      <c r="E2459" s="26" t="n"/>
      <c r="F2459" s="26" t="n"/>
      <c r="G2459" s="26" t="n"/>
    </row>
    <row r="2460" ht="64" customHeight="1">
      <c r="A2460" s="22" t="inlineStr">
        <is>
          <t>Подготовительные мероприятия для обеспечения возможности своевременного реагирования на КИ, в том числе разработка/изучение типового регламента обеспечения кибербезопасности ОИИ, плана мероприятий по реагированию на КИ, порядка взаимодействия с Национальной командой реагирования в соответствии с Приказом Оперативно-аналитического центра при Президенте Республики Беларусь (далее – ОАЦ).</t>
        </is>
      </c>
      <c r="B2460" s="2" t="n"/>
      <c r="C2460" s="2" t="n"/>
      <c r="D2460" s="2" t="n"/>
      <c r="E2460" s="2" t="n"/>
      <c r="F2460" s="2" t="n"/>
      <c r="G2460" s="2" t="n"/>
    </row>
    <row r="2461" ht="48" customHeight="1">
      <c r="A2461" s="22" t="inlineStr">
        <is>
          <t>Подходы к реагированию на инциденты на базе стандартов и фреймворков реагирования на компьютерные инциденты: ISO/IEC 27035-3:2020, ГОСТ Р 59710-2022, NIST, SANS и т.д.</t>
        </is>
      </c>
      <c r="B2461" s="2" t="n"/>
      <c r="C2461" s="2" t="n"/>
      <c r="D2461" s="2" t="n"/>
      <c r="E2461" s="2" t="n"/>
      <c r="F2461" s="2" t="n"/>
      <c r="G2461" s="2" t="n"/>
    </row>
    <row r="2462" ht="48" customHeight="1">
      <c r="A2462" s="22" t="inlineStr">
        <is>
          <t>Практическое слаживание сотрудников центра кибербезопасности (в том числе команды реагирования этого центра) в ходе выявления и реагирования на КИ, расследования КИ.</t>
        </is>
      </c>
      <c r="B2462" s="2" t="n"/>
      <c r="C2462" s="2" t="n"/>
      <c r="D2462" s="2" t="n"/>
      <c r="E2462" s="2" t="n"/>
      <c r="F2462" s="2" t="n"/>
      <c r="G2462" s="2" t="n"/>
    </row>
    <row r="2463" ht="32" customHeight="1">
      <c r="A2463" s="22" t="inlineStr">
        <is>
          <t>Проблемы работы с индикаторами компрометации (ложноположительные срабатывания, идентификация и актуальность идентификаторов).</t>
        </is>
      </c>
      <c r="B2463" s="2" t="n"/>
      <c r="C2463" s="2" t="n"/>
      <c r="D2463" s="2" t="n"/>
      <c r="E2463" s="2" t="n"/>
      <c r="F2463" s="2" t="n"/>
      <c r="G2463" s="2" t="n"/>
    </row>
    <row r="2464" ht="48" customHeight="1">
      <c r="A2464" s="22" t="inlineStr">
        <is>
          <t>Практическая отработка мероприятий по расследованию КИ на тестовых ОИИ, в том числе непосредственное изучение скомпрометированных ОИИ в целях поиска индикаторов компрометации, внесение их в карточку КИ, формирование на их основе дополнительных решающих правил.</t>
        </is>
      </c>
      <c r="B2464" s="2" t="n"/>
      <c r="C2464" s="2" t="n"/>
      <c r="D2464" s="2" t="n"/>
      <c r="E2464" s="2" t="n"/>
      <c r="F2464" s="2" t="n"/>
      <c r="G2464" s="2" t="n"/>
    </row>
    <row r="2465" ht="32" customHeight="1">
      <c r="A2465" s="22" t="inlineStr">
        <is>
          <t>Формирование отчета о реагировании на киберинцидент и его расследовании.</t>
        </is>
      </c>
      <c r="B2465" s="2" t="n"/>
      <c r="C2465" s="2" t="n"/>
      <c r="D2465" s="2" t="n"/>
      <c r="E2465" s="2" t="n"/>
      <c r="F2465" s="2" t="n"/>
      <c r="G2465" s="2" t="n"/>
    </row>
    <row r="2466" ht="32" customHeight="1">
      <c r="A2466" s="22" t="inlineStr">
        <is>
          <t>Внесение соответствующих сведений во внутренние системы учета КИ, а также при необходимости в общереспубликанскую базу данных о КИ.</t>
        </is>
      </c>
      <c r="B2466" s="2" t="n"/>
      <c r="C2466" s="2" t="n"/>
      <c r="D2466" s="2" t="n"/>
      <c r="E2466" s="2" t="n"/>
      <c r="F2466" s="2" t="n"/>
      <c r="G2466" s="2" t="n"/>
    </row>
    <row r="2467" ht="51" customHeight="1">
      <c r="A2467" s="3" t="inlineStr">
        <is>
          <t>ОКБО — Обеспечение кибербезопасности организаций
Раздел: Оценка эффективности защищенности инфраструктуры. Реагирование на киберинциденты · УТП: таблица 2, строка 20</t>
        </is>
      </c>
      <c r="B2467" s="4" t="n"/>
      <c r="C2467" s="4" t="n"/>
      <c r="D2467" s="4" t="n"/>
      <c r="E2467" s="4" t="n"/>
      <c r="F2467" s="4" t="n"/>
      <c r="G2467" s="4" t="n"/>
    </row>
    <row r="2468" ht="30" customHeight="1">
      <c r="A2468" s="3" t="inlineStr">
        <is>
          <t>В программе: Тема 1. Реагирование на КИ. Подготовительные, организационные и практические мероприятия (1 час лекции, 3 часа практические занятия).</t>
        </is>
      </c>
      <c r="B2468" s="4" t="n"/>
      <c r="C2468" s="4" t="n"/>
      <c r="D2468" s="4" t="n"/>
      <c r="E2468" s="4" t="n"/>
      <c r="F2468" s="4" t="n"/>
      <c r="G2468" s="4" t="n"/>
    </row>
    <row r="2469" ht="25" customHeight="1">
      <c r="A2469" s="23" t="inlineStr">
        <is>
          <t>Исходная программа ОКБО ↗</t>
        </is>
      </c>
      <c r="D2469" s="23" t="inlineStr">
        <is>
          <t>Исходный УТП ОКБО ↗</t>
        </is>
      </c>
    </row>
    <row r="2470" ht="27" customHeight="1">
      <c r="A2470" s="24">
        <f>HYPERLINK("#'Выбор тем'!E"&amp;MATCH("T-BEC1F534",'Выбор тем'!$A:$A,0),"← Вернуться к теме")</f>
        <v/>
      </c>
    </row>
    <row r="2472" ht="38" customHeight="1">
      <c r="A2472" s="18" t="inlineStr">
        <is>
          <t>Роли и взаимодействие команд (ЦКБ, IR)</t>
        </is>
      </c>
      <c r="B2472" s="19" t="n"/>
      <c r="C2472" s="19" t="n"/>
      <c r="D2472" s="19" t="n"/>
      <c r="E2472" s="19" t="n"/>
      <c r="F2472" s="19" t="n"/>
      <c r="G2472" s="19" t="n"/>
    </row>
    <row r="2473" ht="26" customHeight="1">
      <c r="A2473" s="3" t="inlineStr">
        <is>
          <t>T-78C3BD08 · Программы: РКИОК</t>
        </is>
      </c>
      <c r="B2473" s="4" t="n"/>
      <c r="C2473" s="4" t="n"/>
      <c r="D2473" s="4" t="n"/>
      <c r="E2473" s="4" t="n"/>
      <c r="F2473" s="4" t="n"/>
      <c r="G2473" s="4" t="n"/>
    </row>
    <row r="2474" ht="27" customHeight="1">
      <c r="A2474" s="20" t="inlineStr">
        <is>
          <t>Вариант для: РКИОК</t>
        </is>
      </c>
      <c r="B2474" s="21" t="n"/>
      <c r="C2474" s="21" t="n"/>
      <c r="D2474" s="21" t="n"/>
      <c r="E2474" s="21" t="n"/>
      <c r="F2474" s="21" t="n"/>
      <c r="G2474" s="21" t="n"/>
    </row>
    <row r="2475" ht="48" customHeight="1">
      <c r="A2475" s="22" t="inlineStr">
        <is>
          <t>Распределение обязанностей между аналитиками, реагирующими и руководителями. Процессы эскалации и совместной работы с другими подразделениями. Необходимость регламентов и постоянного обучения персонала.</t>
        </is>
      </c>
      <c r="B2475" s="2" t="n"/>
      <c r="C2475" s="2" t="n"/>
      <c r="D2475" s="2" t="n"/>
      <c r="E2475" s="2" t="n"/>
      <c r="F2475" s="2" t="n"/>
      <c r="G2475" s="2" t="n"/>
    </row>
    <row r="2476" ht="51" customHeight="1">
      <c r="A2476" s="3" t="inlineStr">
        <is>
          <t>РКИОК — Реагирование на киберинциденты и отражение кибератак
Раздел: Автоматизация обработки инцидентов · УТП: таблица 2, строка 61</t>
        </is>
      </c>
      <c r="B2476" s="4" t="n"/>
      <c r="C2476" s="4" t="n"/>
      <c r="D2476" s="4" t="n"/>
      <c r="E2476" s="4" t="n"/>
      <c r="F2476" s="4" t="n"/>
      <c r="G2476" s="4" t="n"/>
    </row>
    <row r="2477" ht="30" customHeight="1">
      <c r="A2477" s="3" t="inlineStr">
        <is>
          <t>В программе: Тема 3. Роли и взаимодействие команд (ЦКБ, IR) (1 час лекции).</t>
        </is>
      </c>
      <c r="B2477" s="4" t="n"/>
      <c r="C2477" s="4" t="n"/>
      <c r="D2477" s="4" t="n"/>
      <c r="E2477" s="4" t="n"/>
      <c r="F2477" s="4" t="n"/>
      <c r="G2477" s="4" t="n"/>
    </row>
    <row r="2478" ht="25" customHeight="1">
      <c r="A2478" s="23" t="inlineStr">
        <is>
          <t>Исходная программа РКИОК ↗</t>
        </is>
      </c>
      <c r="D2478" s="23" t="inlineStr">
        <is>
          <t>Исходный УТП РКИОК ↗</t>
        </is>
      </c>
    </row>
    <row r="2479" ht="27" customHeight="1">
      <c r="A2479" s="24">
        <f>HYPERLINK("#'Выбор тем'!E"&amp;MATCH("T-78C3BD08",'Выбор тем'!$A:$A,0),"← Вернуться к теме")</f>
        <v/>
      </c>
    </row>
    <row r="2481" ht="38" customHeight="1">
      <c r="A2481" s="18" t="inlineStr">
        <is>
          <t>Роли и обязанности в ЦКБ</t>
        </is>
      </c>
      <c r="B2481" s="19" t="n"/>
      <c r="C2481" s="19" t="n"/>
      <c r="D2481" s="19" t="n"/>
      <c r="E2481" s="19" t="n"/>
      <c r="F2481" s="19" t="n"/>
      <c r="G2481" s="19" t="n"/>
    </row>
    <row r="2482" ht="26" customHeight="1">
      <c r="A2482" s="3" t="inlineStr">
        <is>
          <t>T-074D07AA · Программы: ОКБО</t>
        </is>
      </c>
      <c r="B2482" s="4" t="n"/>
      <c r="C2482" s="4" t="n"/>
      <c r="D2482" s="4" t="n"/>
      <c r="E2482" s="4" t="n"/>
      <c r="F2482" s="4" t="n"/>
      <c r="G2482" s="4" t="n"/>
    </row>
    <row r="2483" ht="27" customHeight="1">
      <c r="A2483" s="20" t="inlineStr">
        <is>
          <t>Вариант для: ОКБО</t>
        </is>
      </c>
      <c r="B2483" s="21" t="n"/>
      <c r="C2483" s="21" t="n"/>
      <c r="D2483" s="21" t="n"/>
      <c r="E2483" s="21" t="n"/>
      <c r="F2483" s="21" t="n"/>
      <c r="G2483" s="21" t="n"/>
    </row>
    <row r="2484" ht="48" customHeight="1">
      <c r="A2484" s="22" t="inlineStr">
        <is>
          <t>Структура ЦКБ. Задачи аналитиков, инженеров, руководителей. Первичный анализ, углублённая аналитика, настройка правил, автоматизация процессов, управление инцидентами. Матрица ответственности и механизмы эскалации. Требования к компетенциям, обучению и сертификациям персонала.</t>
        </is>
      </c>
      <c r="B2484" s="2" t="n"/>
      <c r="C2484" s="2" t="n"/>
      <c r="D2484" s="2" t="n"/>
      <c r="E2484" s="2" t="n"/>
      <c r="F2484" s="2" t="n"/>
      <c r="G2484" s="2" t="n"/>
    </row>
    <row r="2485" ht="51" customHeight="1">
      <c r="A2485"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15</t>
        </is>
      </c>
      <c r="B2485" s="4" t="n"/>
      <c r="C2485" s="4" t="n"/>
      <c r="D2485" s="4" t="n"/>
      <c r="E2485" s="4" t="n"/>
      <c r="F2485" s="4" t="n"/>
      <c r="G2485" s="4" t="n"/>
    </row>
    <row r="2486" ht="30" customHeight="1">
      <c r="A2486" s="3" t="inlineStr">
        <is>
          <t>В программе: Тема 2. Роли и обязанности в ЦКБ (1 час лекции).</t>
        </is>
      </c>
      <c r="B2486" s="4" t="n"/>
      <c r="C2486" s="4" t="n"/>
      <c r="D2486" s="4" t="n"/>
      <c r="E2486" s="4" t="n"/>
      <c r="F2486" s="4" t="n"/>
      <c r="G2486" s="4" t="n"/>
    </row>
    <row r="2487" ht="25" customHeight="1">
      <c r="A2487" s="23" t="inlineStr">
        <is>
          <t>Исходная программа ОКБО ↗</t>
        </is>
      </c>
      <c r="D2487" s="23" t="inlineStr">
        <is>
          <t>Исходный УТП ОКБО ↗</t>
        </is>
      </c>
    </row>
    <row r="2488" ht="27" customHeight="1">
      <c r="A2488" s="24">
        <f>HYPERLINK("#'Выбор тем'!E"&amp;MATCH("T-074D07AA",'Выбор тем'!$A:$A,0),"← Вернуться к теме")</f>
        <v/>
      </c>
    </row>
    <row r="2490" ht="38" customHeight="1">
      <c r="A2490" s="18" t="inlineStr">
        <is>
          <t>Роль SOAR в структуре ЦКБ и его взаимодействие с системами SIEM</t>
        </is>
      </c>
      <c r="B2490" s="19" t="n"/>
      <c r="C2490" s="19" t="n"/>
      <c r="D2490" s="19" t="n"/>
      <c r="E2490" s="19" t="n"/>
      <c r="F2490" s="19" t="n"/>
      <c r="G2490" s="19" t="n"/>
    </row>
    <row r="2491" ht="26" customHeight="1">
      <c r="A2491" s="3" t="inlineStr">
        <is>
          <t>T-97CE9DB3 · Программы: РКИОК</t>
        </is>
      </c>
      <c r="B2491" s="4" t="n"/>
      <c r="C2491" s="4" t="n"/>
      <c r="D2491" s="4" t="n"/>
      <c r="E2491" s="4" t="n"/>
      <c r="F2491" s="4" t="n"/>
      <c r="G2491" s="4" t="n"/>
    </row>
    <row r="2492" ht="27" customHeight="1">
      <c r="A2492" s="20" t="inlineStr">
        <is>
          <t>Вариант для: РКИОК</t>
        </is>
      </c>
      <c r="B2492" s="21" t="n"/>
      <c r="C2492" s="21" t="n"/>
      <c r="D2492" s="21" t="n"/>
      <c r="E2492" s="21" t="n"/>
      <c r="F2492" s="21" t="n"/>
      <c r="G2492" s="21" t="n"/>
    </row>
    <row r="2493" ht="48" customHeight="1">
      <c r="A2493" s="22" t="inlineStr">
        <is>
          <t>Разграничение ролей: SIEM собирает и анализирует события, SOAR автоматизирует реакции. Типовые варианты взаимодействия: обмен событиями, запуск плейбуков. Преимущества совместного использования для сокращения времени реакции.</t>
        </is>
      </c>
      <c r="B2493" s="2" t="n"/>
      <c r="C2493" s="2" t="n"/>
      <c r="D2493" s="2" t="n"/>
      <c r="E2493" s="2" t="n"/>
      <c r="F2493" s="2" t="n"/>
      <c r="G2493" s="2" t="n"/>
    </row>
    <row r="2494" ht="51" customHeight="1">
      <c r="A2494" s="3" t="inlineStr">
        <is>
          <t>РКИОК — Реагирование на киберинциденты и отражение кибератак
Раздел: Введение в SOAR и TI · УТП: таблица 2, строка 37</t>
        </is>
      </c>
      <c r="B2494" s="4" t="n"/>
      <c r="C2494" s="4" t="n"/>
      <c r="D2494" s="4" t="n"/>
      <c r="E2494" s="4" t="n"/>
      <c r="F2494" s="4" t="n"/>
      <c r="G2494" s="4" t="n"/>
    </row>
    <row r="2495" ht="30" customHeight="1">
      <c r="A2495" s="3" t="inlineStr">
        <is>
          <t>В программе: Тема 4. Роль SOAR в структуре ЦКБ и его взаимодействие с системами SIEM (1 час лекции).</t>
        </is>
      </c>
      <c r="B2495" s="4" t="n"/>
      <c r="C2495" s="4" t="n"/>
      <c r="D2495" s="4" t="n"/>
      <c r="E2495" s="4" t="n"/>
      <c r="F2495" s="4" t="n"/>
      <c r="G2495" s="4" t="n"/>
    </row>
    <row r="2496" ht="25" customHeight="1">
      <c r="A2496" s="23" t="inlineStr">
        <is>
          <t>Исходная программа РКИОК ↗</t>
        </is>
      </c>
      <c r="D2496" s="23" t="inlineStr">
        <is>
          <t>Исходный УТП РКИОК ↗</t>
        </is>
      </c>
    </row>
    <row r="2497" ht="27" customHeight="1">
      <c r="A2497" s="24">
        <f>HYPERLINK("#'Выбор тем'!E"&amp;MATCH("T-97CE9DB3",'Выбор тем'!$A:$A,0),"← Вернуться к теме")</f>
        <v/>
      </c>
    </row>
    <row r="2499" ht="38" customHeight="1">
      <c r="A2499" s="18" t="inlineStr">
        <is>
          <t>Роль и задачи администратора кибербезопасности</t>
        </is>
      </c>
      <c r="B2499" s="19" t="n"/>
      <c r="C2499" s="19" t="n"/>
      <c r="D2499" s="19" t="n"/>
      <c r="E2499" s="19" t="n"/>
      <c r="F2499" s="19" t="n"/>
      <c r="G2499" s="19" t="n"/>
    </row>
    <row r="2500" ht="26" customHeight="1">
      <c r="A2500" s="3" t="inlineStr">
        <is>
          <t>T-15C7B62E · Программы: АКБ</t>
        </is>
      </c>
      <c r="B2500" s="4" t="n"/>
      <c r="C2500" s="4" t="n"/>
      <c r="D2500" s="4" t="n"/>
      <c r="E2500" s="4" t="n"/>
      <c r="F2500" s="4" t="n"/>
      <c r="G2500" s="4" t="n"/>
    </row>
    <row r="2501" ht="27" customHeight="1">
      <c r="A2501" s="20" t="inlineStr">
        <is>
          <t>Вариант для: АКБ</t>
        </is>
      </c>
      <c r="B2501" s="21" t="n"/>
      <c r="C2501" s="21" t="n"/>
      <c r="D2501" s="21" t="n"/>
      <c r="E2501" s="21" t="n"/>
      <c r="F2501" s="21" t="n"/>
      <c r="G2501" s="21" t="n"/>
    </row>
    <row r="2502" ht="64" customHeight="1">
      <c r="A2502" s="22" t="inlineStr">
        <is>
          <t>Администратор кибербезопасности. Деятельность администратора кибербезопасности (выполнение правил эксплуатации средств защиты информации; обеспечение непрерывности процесса обработки информации; реагирование на нарушения в информационной системе и восстановление ее работоспособности; выполнение ряда рутинных функций).</t>
        </is>
      </c>
      <c r="B2502" s="2" t="n"/>
      <c r="C2502" s="2" t="n"/>
      <c r="D2502" s="2" t="n"/>
      <c r="E2502" s="2" t="n"/>
      <c r="F2502" s="2" t="n"/>
      <c r="G2502" s="2" t="n"/>
    </row>
    <row r="2503" ht="32" customHeight="1">
      <c r="A2503" s="22" t="inlineStr">
        <is>
          <t>Вопросы круглого стола:</t>
        </is>
      </c>
      <c r="B2503" s="2" t="n"/>
      <c r="C2503" s="2" t="n"/>
      <c r="D2503" s="2" t="n"/>
      <c r="E2503" s="2" t="n"/>
      <c r="F2503" s="2" t="n"/>
      <c r="G2503" s="2" t="n"/>
    </row>
    <row r="2504" ht="32" customHeight="1">
      <c r="A2504" s="22" t="inlineStr">
        <is>
          <t>Основные функции и задачи администратора кибербезопасности.</t>
        </is>
      </c>
      <c r="B2504" s="2" t="n"/>
      <c r="C2504" s="2" t="n"/>
      <c r="D2504" s="2" t="n"/>
      <c r="E2504" s="2" t="n"/>
      <c r="F2504" s="2" t="n"/>
      <c r="G2504" s="2" t="n"/>
    </row>
    <row r="2505" ht="32" customHeight="1">
      <c r="A2505" s="22" t="inlineStr">
        <is>
          <t>Обязанности администратора кибербезопасности.</t>
        </is>
      </c>
      <c r="B2505" s="2" t="n"/>
      <c r="C2505" s="2" t="n"/>
      <c r="D2505" s="2" t="n"/>
      <c r="E2505" s="2" t="n"/>
      <c r="F2505" s="2" t="n"/>
      <c r="G2505" s="2" t="n"/>
    </row>
    <row r="2506" ht="32" customHeight="1">
      <c r="A2506" s="22" t="inlineStr">
        <is>
          <t>Права администратора кибербезопасности.</t>
        </is>
      </c>
      <c r="B2506" s="2" t="n"/>
      <c r="C2506" s="2" t="n"/>
      <c r="D2506" s="2" t="n"/>
      <c r="E2506" s="2" t="n"/>
      <c r="F2506" s="2" t="n"/>
      <c r="G2506" s="2" t="n"/>
    </row>
    <row r="2507" ht="51" customHeight="1">
      <c r="A2507" s="3" t="inlineStr">
        <is>
          <t>АКБ — Администратор кибербезопасности
Раздел: Методологические основы обеспечения кибербезопасности · УТП: таблица 2, строка 9</t>
        </is>
      </c>
      <c r="B2507" s="4" t="n"/>
      <c r="C2507" s="4" t="n"/>
      <c r="D2507" s="4" t="n"/>
      <c r="E2507" s="4" t="n"/>
      <c r="F2507" s="4" t="n"/>
      <c r="G2507" s="4" t="n"/>
    </row>
    <row r="2508" ht="30" customHeight="1">
      <c r="A2508" s="3" t="inlineStr">
        <is>
          <t>В программе: Тема 1. Роль и задачи администратора кибербезопасности (3 часа лекции, 1 час круглый стол).</t>
        </is>
      </c>
      <c r="B2508" s="4" t="n"/>
      <c r="C2508" s="4" t="n"/>
      <c r="D2508" s="4" t="n"/>
      <c r="E2508" s="4" t="n"/>
      <c r="F2508" s="4" t="n"/>
      <c r="G2508" s="4" t="n"/>
    </row>
    <row r="2509" ht="25" customHeight="1">
      <c r="A2509" s="23" t="inlineStr">
        <is>
          <t>Исходная программа АКБ ↗</t>
        </is>
      </c>
      <c r="D2509" s="23" t="inlineStr">
        <is>
          <t>Исходный УТП АКБ ↗</t>
        </is>
      </c>
    </row>
    <row r="2510" ht="27" customHeight="1">
      <c r="A2510" s="24">
        <f>HYPERLINK("#'Выбор тем'!E"&amp;MATCH("T-15C7B62E",'Выбор тем'!$A:$A,0),"← Вернуться к теме")</f>
        <v/>
      </c>
    </row>
    <row r="2512" ht="38" customHeight="1">
      <c r="A2512" s="18" t="inlineStr">
        <is>
          <t>Роль и задачи кибербезопасности</t>
        </is>
      </c>
      <c r="B2512" s="19" t="n"/>
      <c r="C2512" s="19" t="n"/>
      <c r="D2512" s="19" t="n"/>
      <c r="E2512" s="19" t="n"/>
      <c r="F2512" s="19" t="n"/>
      <c r="G2512" s="19" t="n"/>
    </row>
    <row r="2513" ht="26" customHeight="1">
      <c r="A2513" s="3" t="inlineStr">
        <is>
          <t>T-0BCE0FDD · Программы: БКТ</t>
        </is>
      </c>
      <c r="B2513" s="4" t="n"/>
      <c r="C2513" s="4" t="n"/>
      <c r="D2513" s="4" t="n"/>
      <c r="E2513" s="4" t="n"/>
      <c r="F2513" s="4" t="n"/>
      <c r="G2513" s="4" t="n"/>
    </row>
    <row r="2514" ht="27" customHeight="1">
      <c r="A2514" s="20" t="inlineStr">
        <is>
          <t>Вариант для: БКТ</t>
        </is>
      </c>
      <c r="B2514" s="21" t="n"/>
      <c r="C2514" s="21" t="n"/>
      <c r="D2514" s="21" t="n"/>
      <c r="E2514" s="21" t="n"/>
      <c r="F2514" s="21" t="n"/>
      <c r="G2514" s="21" t="n"/>
    </row>
    <row r="2515" ht="48" customHeight="1">
      <c r="A2515" s="22" t="inlineStr">
        <is>
          <t>Цели обеспечения целостности, конфиденциальности и доступности информации. Объекты защиты. Модель нарушителя: классификация по принадлежности, квалификации, мотивации, наличию доступа.</t>
        </is>
      </c>
      <c r="B2515" s="2" t="n"/>
      <c r="C2515" s="2" t="n"/>
      <c r="D2515" s="2" t="n"/>
      <c r="E2515" s="2" t="n"/>
      <c r="F2515" s="2" t="n"/>
      <c r="G2515" s="2" t="n"/>
    </row>
    <row r="2516" ht="32" customHeight="1">
      <c r="A2516" s="22" t="inlineStr">
        <is>
          <t>Вопросы круглого стола:</t>
        </is>
      </c>
      <c r="B2516" s="2" t="n"/>
      <c r="C2516" s="2" t="n"/>
      <c r="D2516" s="2" t="n"/>
      <c r="E2516" s="2" t="n"/>
      <c r="F2516" s="2" t="n"/>
      <c r="G2516" s="2" t="n"/>
    </row>
    <row r="2517" ht="32" customHeight="1">
      <c r="A2517" s="22" t="inlineStr">
        <is>
          <t>Роль лица или подразделения, ответственных за обеспечение кибербезопасности в организации.</t>
        </is>
      </c>
      <c r="B2517" s="2" t="n"/>
      <c r="C2517" s="2" t="n"/>
      <c r="D2517" s="2" t="n"/>
      <c r="E2517" s="2" t="n"/>
      <c r="F2517" s="2" t="n"/>
      <c r="G2517" s="2" t="n"/>
    </row>
    <row r="2518" ht="51" customHeight="1">
      <c r="A2518" s="3" t="inlineStr">
        <is>
          <t>БКТ — Безопасность компьютерных технологий
Раздел: Методологические основы обеспечения кибербезопасности · УТП: таблица 2, строка 11</t>
        </is>
      </c>
      <c r="B2518" s="4" t="n"/>
      <c r="C2518" s="4" t="n"/>
      <c r="D2518" s="4" t="n"/>
      <c r="E2518" s="4" t="n"/>
      <c r="F2518" s="4" t="n"/>
      <c r="G2518" s="4" t="n"/>
    </row>
    <row r="2519" ht="30" customHeight="1">
      <c r="A2519" s="3" t="inlineStr">
        <is>
          <t>В программе: Тема 1. Роль и задачи кибербезопасности (3 часа лекции, 1 час круглый стол).</t>
        </is>
      </c>
      <c r="B2519" s="4" t="n"/>
      <c r="C2519" s="4" t="n"/>
      <c r="D2519" s="4" t="n"/>
      <c r="E2519" s="4" t="n"/>
      <c r="F2519" s="4" t="n"/>
      <c r="G2519" s="4" t="n"/>
    </row>
    <row r="2520" ht="25" customHeight="1">
      <c r="A2520" s="23" t="inlineStr">
        <is>
          <t>Исходная программа БКТ ↗</t>
        </is>
      </c>
      <c r="D2520" s="23" t="inlineStr">
        <is>
          <t>Исходный УТП БКТ ↗</t>
        </is>
      </c>
    </row>
    <row r="2521" ht="27" customHeight="1">
      <c r="A2521" s="24">
        <f>HYPERLINK("#'Выбор тем'!E"&amp;MATCH("T-0BCE0FDD",'Выбор тем'!$A:$A,0),"← Вернуться к теме")</f>
        <v/>
      </c>
    </row>
    <row r="2523" ht="48" customHeight="1">
      <c r="A2523" s="18" t="inlineStr">
        <is>
          <t>Роль и задачи обеспечения кибербезопасности в сфере здравоохранения. Объекты информационной инфраструктуры организаций здравоохранения</t>
        </is>
      </c>
      <c r="B2523" s="19" t="n"/>
      <c r="C2523" s="19" t="n"/>
      <c r="D2523" s="19" t="n"/>
      <c r="E2523" s="19" t="n"/>
      <c r="F2523" s="19" t="n"/>
      <c r="G2523" s="19" t="n"/>
    </row>
    <row r="2524" ht="26" customHeight="1">
      <c r="A2524" s="3" t="inlineStr">
        <is>
          <t>T-62D4D00A · Программы: ЗИОЗ</t>
        </is>
      </c>
      <c r="B2524" s="4" t="n"/>
      <c r="C2524" s="4" t="n"/>
      <c r="D2524" s="4" t="n"/>
      <c r="E2524" s="4" t="n"/>
      <c r="F2524" s="4" t="n"/>
      <c r="G2524" s="4" t="n"/>
    </row>
    <row r="2525" ht="27" customHeight="1">
      <c r="A2525" s="20" t="inlineStr">
        <is>
          <t>Вариант для: ЗИОЗ</t>
        </is>
      </c>
      <c r="B2525" s="21" t="n"/>
      <c r="C2525" s="21" t="n"/>
      <c r="D2525" s="21" t="n"/>
      <c r="E2525" s="21" t="n"/>
      <c r="F2525" s="21" t="n"/>
      <c r="G2525" s="21" t="n"/>
    </row>
    <row r="2526" ht="64" customHeight="1">
      <c r="A2526" s="22" t="inlineStr">
        <is>
          <t>Цели обеспечения целостности, конфиденциальности и доступности информации в организациях здравоохранения. Модель нарушителя: классификация по принадлежности, квалификации, мотивации, наличию доступа. Роль лица или подразделения, ответственных за обеспечение кибербезопасности в организации. Объекты информационной инфраструктуры организаций здравоохранения, медицинские информационные системы.</t>
        </is>
      </c>
      <c r="B2526" s="2" t="n"/>
      <c r="C2526" s="2" t="n"/>
      <c r="D2526" s="2" t="n"/>
      <c r="E2526" s="2" t="n"/>
      <c r="F2526" s="2" t="n"/>
      <c r="G2526" s="2" t="n"/>
    </row>
    <row r="2527" ht="32" customHeight="1">
      <c r="A2527" s="22" t="inlineStr">
        <is>
          <t>Вопросы тематической дискуссии:</t>
        </is>
      </c>
      <c r="B2527" s="2" t="n"/>
      <c r="C2527" s="2" t="n"/>
      <c r="D2527" s="2" t="n"/>
      <c r="E2527" s="2" t="n"/>
      <c r="F2527" s="2" t="n"/>
      <c r="G2527" s="2" t="n"/>
    </row>
    <row r="2528" ht="32" customHeight="1">
      <c r="A2528" s="22" t="inlineStr">
        <is>
          <t>Особенности определения критичности объектов информационной инфраструктуры организаций здравоохранения.</t>
        </is>
      </c>
      <c r="B2528" s="2" t="n"/>
      <c r="C2528" s="2" t="n"/>
      <c r="D2528" s="2" t="n"/>
      <c r="E2528" s="2" t="n"/>
      <c r="F2528" s="2" t="n"/>
      <c r="G2528" s="2" t="n"/>
    </row>
    <row r="2529" ht="32" customHeight="1">
      <c r="A2529" s="22" t="inlineStr">
        <is>
          <t>Практические аспекты построения модели нарушителя с учетом специфики организаций здравоохранения.</t>
        </is>
      </c>
      <c r="B2529" s="2" t="n"/>
      <c r="C2529" s="2" t="n"/>
      <c r="D2529" s="2" t="n"/>
      <c r="E2529" s="2" t="n"/>
      <c r="F2529" s="2" t="n"/>
      <c r="G2529" s="2" t="n"/>
    </row>
    <row r="2530" ht="51" customHeight="1">
      <c r="A2530"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9</t>
        </is>
      </c>
      <c r="B2530" s="4" t="n"/>
      <c r="C2530" s="4" t="n"/>
      <c r="D2530" s="4" t="n"/>
      <c r="E2530" s="4" t="n"/>
      <c r="F2530" s="4" t="n"/>
      <c r="G2530" s="4" t="n"/>
    </row>
    <row r="2531" ht="46" customHeight="1">
      <c r="A2531" s="3" t="inlineStr">
        <is>
          <t>В программе: Тема 1. Роль и задачи обеспечения кибербезопасности в сфере здравоохранения. Объекты информационной инфраструктуры организаций здравоохранения (3 часа лекции, 1 час тематическая дискуссия).</t>
        </is>
      </c>
      <c r="B2531" s="4" t="n"/>
      <c r="C2531" s="4" t="n"/>
      <c r="D2531" s="4" t="n"/>
      <c r="E2531" s="4" t="n"/>
      <c r="F2531" s="4" t="n"/>
      <c r="G2531" s="4" t="n"/>
    </row>
    <row r="2532" ht="25" customHeight="1">
      <c r="A2532" s="23" t="inlineStr">
        <is>
          <t>Исходная программа ЗИОЗ ↗</t>
        </is>
      </c>
      <c r="D2532" s="23" t="inlineStr">
        <is>
          <t>Исходный УТП ЗИОЗ ↗</t>
        </is>
      </c>
    </row>
    <row r="2533" ht="27" customHeight="1">
      <c r="A2533" s="24">
        <f>HYPERLINK("#'Выбор тем'!E"&amp;MATCH("T-62D4D00A",'Выбор тем'!$A:$A,0),"← Вернуться к теме")</f>
        <v/>
      </c>
    </row>
    <row r="2535" ht="38" customHeight="1">
      <c r="A2535" s="18" t="inlineStr">
        <is>
          <t>Сборка базового плейбука обработки фишинга. Создание визуального сценария реагирования</t>
        </is>
      </c>
      <c r="B2535" s="19" t="n"/>
      <c r="C2535" s="19" t="n"/>
      <c r="D2535" s="19" t="n"/>
      <c r="E2535" s="19" t="n"/>
      <c r="F2535" s="19" t="n"/>
      <c r="G2535" s="19" t="n"/>
    </row>
    <row r="2536" ht="26" customHeight="1">
      <c r="A2536" s="3" t="inlineStr">
        <is>
          <t>T-FE107062 · Программы: ОКБО, РКИОК</t>
        </is>
      </c>
      <c r="B2536" s="4" t="n"/>
      <c r="C2536" s="4" t="n"/>
      <c r="D2536" s="4" t="n"/>
      <c r="E2536" s="4" t="n"/>
      <c r="F2536" s="4" t="n"/>
      <c r="G2536" s="4" t="n"/>
    </row>
    <row r="2537" ht="27" customHeight="1">
      <c r="A2537" s="20" t="inlineStr">
        <is>
          <t>Вариант для: ОКБО</t>
        </is>
      </c>
      <c r="B2537" s="21" t="n"/>
      <c r="C2537" s="21" t="n"/>
      <c r="D2537" s="21" t="n"/>
      <c r="E2537" s="21" t="n"/>
      <c r="F2537" s="21" t="n"/>
      <c r="G2537" s="21" t="n"/>
    </row>
    <row r="2538" ht="31" customHeight="1">
      <c r="A2538" s="25" t="inlineStr">
        <is>
          <t>Названия в УТП и обновлённой программе различаются. Приведён фактический текст соответствующего раздела программы.</t>
        </is>
      </c>
      <c r="B2538" s="26" t="n"/>
      <c r="C2538" s="26" t="n"/>
      <c r="D2538" s="26" t="n"/>
      <c r="E2538" s="26" t="n"/>
      <c r="F2538" s="26" t="n"/>
      <c r="G2538" s="26" t="n"/>
    </row>
    <row r="2539" ht="32" customHeight="1">
      <c r="A2539" s="22" t="inlineStr">
        <is>
          <t>Анализ требований и проектирование. Создание плейбука в графическом редакторе. Тестирование и отладка. Анализ результатов и доработка.</t>
        </is>
      </c>
      <c r="B2539" s="2" t="n"/>
      <c r="C2539" s="2" t="n"/>
      <c r="D2539" s="2" t="n"/>
      <c r="E2539" s="2" t="n"/>
      <c r="F2539" s="2" t="n"/>
      <c r="G2539" s="2" t="n"/>
    </row>
    <row r="2540" ht="51" customHeight="1">
      <c r="A2540" s="3" t="inlineStr">
        <is>
          <t>ОКБО — Обеспечение кибербезопасности организаций
Раздел: Отработка практических заданий на базе киберполигона · УТП: таблица 2, строка 44</t>
        </is>
      </c>
      <c r="B2540" s="4" t="n"/>
      <c r="C2540" s="4" t="n"/>
      <c r="D2540" s="4" t="n"/>
      <c r="E2540" s="4" t="n"/>
      <c r="F2540" s="4" t="n"/>
      <c r="G2540" s="4" t="n"/>
    </row>
    <row r="2541" ht="30" customHeight="1">
      <c r="A2541" s="3" t="inlineStr">
        <is>
          <t>В программе: Тема 1. Сборка базового плейбука обработки фишинга. Создание визуального сценария реагирования (3 часа практические занятия).</t>
        </is>
      </c>
      <c r="B2541" s="4" t="n"/>
      <c r="C2541" s="4" t="n"/>
      <c r="D2541" s="4" t="n"/>
      <c r="E2541" s="4" t="n"/>
      <c r="F2541" s="4" t="n"/>
      <c r="G2541" s="4" t="n"/>
    </row>
    <row r="2542" ht="25" customHeight="1">
      <c r="A2542" s="23" t="inlineStr">
        <is>
          <t>Исходная программа ОКБО ↗</t>
        </is>
      </c>
      <c r="D2542" s="23" t="inlineStr">
        <is>
          <t>Исходный УТП ОКБО ↗</t>
        </is>
      </c>
    </row>
    <row r="2543" ht="27" customHeight="1">
      <c r="A2543" s="20" t="inlineStr">
        <is>
          <t>Вариант для: РКИОК</t>
        </is>
      </c>
      <c r="B2543" s="21" t="n"/>
      <c r="C2543" s="21" t="n"/>
      <c r="D2543" s="21" t="n"/>
      <c r="E2543" s="21" t="n"/>
      <c r="F2543" s="21" t="n"/>
      <c r="G2543" s="21" t="n"/>
    </row>
    <row r="2544" ht="48" customHeight="1">
      <c r="A2544" s="22" t="inlineStr">
        <is>
          <t>Пошаговая разработка плейбука для обработки фишинговых сообщений. Использование графического редактора для построения логических связей. Тестирование сценария на примере и доработка в зависимости от результата.</t>
        </is>
      </c>
      <c r="B2544" s="2" t="n"/>
      <c r="C2544" s="2" t="n"/>
      <c r="D2544" s="2" t="n"/>
      <c r="E2544" s="2" t="n"/>
      <c r="F2544" s="2" t="n"/>
      <c r="G2544" s="2" t="n"/>
    </row>
    <row r="2545" ht="51" customHeight="1">
      <c r="A2545" s="3" t="inlineStr">
        <is>
          <t>РКИОК — Реагирование на киберинциденты и отражение кибератак
Раздел: Интеграция и использование SOAR в ЦКБ · УТП: таблица 2, строка 49</t>
        </is>
      </c>
      <c r="B2545" s="4" t="n"/>
      <c r="C2545" s="4" t="n"/>
      <c r="D2545" s="4" t="n"/>
      <c r="E2545" s="4" t="n"/>
      <c r="F2545" s="4" t="n"/>
      <c r="G2545" s="4" t="n"/>
    </row>
    <row r="2546" ht="30" customHeight="1">
      <c r="A2546" s="3" t="inlineStr">
        <is>
          <t>В программе: Тема 7. Сборка базового плейбука обработки фишинга. Создание визуального сценария реагирования (2 часа практические занятия).</t>
        </is>
      </c>
      <c r="B2546" s="4" t="n"/>
      <c r="C2546" s="4" t="n"/>
      <c r="D2546" s="4" t="n"/>
      <c r="E2546" s="4" t="n"/>
      <c r="F2546" s="4" t="n"/>
      <c r="G2546" s="4" t="n"/>
    </row>
    <row r="2547" ht="25" customHeight="1">
      <c r="A2547" s="23" t="inlineStr">
        <is>
          <t>Исходная программа РКИОК ↗</t>
        </is>
      </c>
      <c r="D2547" s="23" t="inlineStr">
        <is>
          <t>Исходный УТП РКИОК ↗</t>
        </is>
      </c>
    </row>
    <row r="2548" ht="27" customHeight="1">
      <c r="A2548" s="24">
        <f>HYPERLINK("#'Выбор тем'!E"&amp;MATCH("T-FE107062",'Выбор тем'!$A:$A,0),"← Вернуться к теме")</f>
        <v/>
      </c>
    </row>
    <row r="2550" ht="38" customHeight="1">
      <c r="A2550" s="18" t="inlineStr">
        <is>
          <t>Сводки, категории, IOC и контекст</t>
        </is>
      </c>
      <c r="B2550" s="19" t="n"/>
      <c r="C2550" s="19" t="n"/>
      <c r="D2550" s="19" t="n"/>
      <c r="E2550" s="19" t="n"/>
      <c r="F2550" s="19" t="n"/>
      <c r="G2550" s="19" t="n"/>
    </row>
    <row r="2551" ht="26" customHeight="1">
      <c r="A2551" s="3" t="inlineStr">
        <is>
          <t>T-236E36A0 · Программы: РКИОК</t>
        </is>
      </c>
      <c r="B2551" s="4" t="n"/>
      <c r="C2551" s="4" t="n"/>
      <c r="D2551" s="4" t="n"/>
      <c r="E2551" s="4" t="n"/>
      <c r="F2551" s="4" t="n"/>
      <c r="G2551" s="4" t="n"/>
    </row>
    <row r="2552" ht="27" customHeight="1">
      <c r="A2552" s="20" t="inlineStr">
        <is>
          <t>Вариант для: РКИОК</t>
        </is>
      </c>
      <c r="B2552" s="21" t="n"/>
      <c r="C2552" s="21" t="n"/>
      <c r="D2552" s="21" t="n"/>
      <c r="E2552" s="21" t="n"/>
      <c r="F2552" s="21" t="n"/>
      <c r="G2552" s="21" t="n"/>
    </row>
    <row r="2553" ht="48" customHeight="1">
      <c r="A2553" s="22" t="inlineStr">
        <is>
          <t>Формирование отчётов на основе групп индикаторов. Классификация IoC по типам, уровням риска и принадлежности к кампаниям. Роль контекстной информации в анализе и реагировании.</t>
        </is>
      </c>
      <c r="B2553" s="2" t="n"/>
      <c r="C2553" s="2" t="n"/>
      <c r="D2553" s="2" t="n"/>
      <c r="E2553" s="2" t="n"/>
      <c r="F2553" s="2" t="n"/>
      <c r="G2553" s="2" t="n"/>
    </row>
    <row r="2554" ht="51" customHeight="1">
      <c r="A2554" s="3" t="inlineStr">
        <is>
          <t>РКИОК — Реагирование на киберинциденты и отражение кибератак
Раздел: Интеграция и использование TI в ЦКБ · УТП: таблица 2, строка 53</t>
        </is>
      </c>
      <c r="B2554" s="4" t="n"/>
      <c r="C2554" s="4" t="n"/>
      <c r="D2554" s="4" t="n"/>
      <c r="E2554" s="4" t="n"/>
      <c r="F2554" s="4" t="n"/>
      <c r="G2554" s="4" t="n"/>
    </row>
    <row r="2555" ht="30" customHeight="1">
      <c r="A2555" s="3" t="inlineStr">
        <is>
          <t>В программе: Тема 3. Сводки, категории, IOC и контекст (1 час лекции).</t>
        </is>
      </c>
      <c r="B2555" s="4" t="n"/>
      <c r="C2555" s="4" t="n"/>
      <c r="D2555" s="4" t="n"/>
      <c r="E2555" s="4" t="n"/>
      <c r="F2555" s="4" t="n"/>
      <c r="G2555" s="4" t="n"/>
    </row>
    <row r="2556" ht="25" customHeight="1">
      <c r="A2556" s="23" t="inlineStr">
        <is>
          <t>Исходная программа РКИОК ↗</t>
        </is>
      </c>
      <c r="D2556" s="23" t="inlineStr">
        <is>
          <t>Исходный УТП РКИОК ↗</t>
        </is>
      </c>
    </row>
    <row r="2557" ht="27" customHeight="1">
      <c r="A2557" s="24">
        <f>HYPERLINK("#'Выбор тем'!E"&amp;MATCH("T-236E36A0",'Выбор тем'!$A:$A,0),"← Вернуться к теме")</f>
        <v/>
      </c>
    </row>
    <row r="2559" ht="38" customHeight="1">
      <c r="A2559" s="18" t="inlineStr">
        <is>
          <t>Связка TI + SOAR: автоматическое обогащение</t>
        </is>
      </c>
      <c r="B2559" s="19" t="n"/>
      <c r="C2559" s="19" t="n"/>
      <c r="D2559" s="19" t="n"/>
      <c r="E2559" s="19" t="n"/>
      <c r="F2559" s="19" t="n"/>
      <c r="G2559" s="19" t="n"/>
    </row>
    <row r="2560" ht="26" customHeight="1">
      <c r="A2560" s="3" t="inlineStr">
        <is>
          <t>T-F041B9F5 · Программы: РКИОК</t>
        </is>
      </c>
      <c r="B2560" s="4" t="n"/>
      <c r="C2560" s="4" t="n"/>
      <c r="D2560" s="4" t="n"/>
      <c r="E2560" s="4" t="n"/>
      <c r="F2560" s="4" t="n"/>
      <c r="G2560" s="4" t="n"/>
    </row>
    <row r="2561" ht="27" customHeight="1">
      <c r="A2561" s="20" t="inlineStr">
        <is>
          <t>Вариант для: РКИОК</t>
        </is>
      </c>
      <c r="B2561" s="21" t="n"/>
      <c r="C2561" s="21" t="n"/>
      <c r="D2561" s="21" t="n"/>
      <c r="E2561" s="21" t="n"/>
      <c r="F2561" s="21" t="n"/>
      <c r="G2561" s="21" t="n"/>
    </row>
    <row r="2562" ht="48" customHeight="1">
      <c r="A2562" s="22" t="inlineStr">
        <is>
          <t>Передача индикаторов из TI-платформы в SOAR для обогащения событий. Автоматизированное принятие решений на основе рейтинга IoC. Примеры правил, инициирующих плейбуки при совпадениях.</t>
        </is>
      </c>
      <c r="B2562" s="2" t="n"/>
      <c r="C2562" s="2" t="n"/>
      <c r="D2562" s="2" t="n"/>
      <c r="E2562" s="2" t="n"/>
      <c r="F2562" s="2" t="n"/>
      <c r="G2562" s="2" t="n"/>
    </row>
    <row r="2563" ht="51" customHeight="1">
      <c r="A2563" s="3" t="inlineStr">
        <is>
          <t>РКИОК — Реагирование на киберинциденты и отражение кибератак
Раздел: Интеграция и использование TI в ЦКБ · УТП: таблица 2, строка 54</t>
        </is>
      </c>
      <c r="B2563" s="4" t="n"/>
      <c r="C2563" s="4" t="n"/>
      <c r="D2563" s="4" t="n"/>
      <c r="E2563" s="4" t="n"/>
      <c r="F2563" s="4" t="n"/>
      <c r="G2563" s="4" t="n"/>
    </row>
    <row r="2564" ht="30" customHeight="1">
      <c r="A2564" s="3" t="inlineStr">
        <is>
          <t>В программе: Тема 4. Связка TI + SOAR: автоматическое обогащение (1 час лекции).</t>
        </is>
      </c>
      <c r="B2564" s="4" t="n"/>
      <c r="C2564" s="4" t="n"/>
      <c r="D2564" s="4" t="n"/>
      <c r="E2564" s="4" t="n"/>
      <c r="F2564" s="4" t="n"/>
      <c r="G2564" s="4" t="n"/>
    </row>
    <row r="2565" ht="25" customHeight="1">
      <c r="A2565" s="23" t="inlineStr">
        <is>
          <t>Исходная программа РКИОК ↗</t>
        </is>
      </c>
      <c r="D2565" s="23" t="inlineStr">
        <is>
          <t>Исходный УТП РКИОК ↗</t>
        </is>
      </c>
    </row>
    <row r="2566" ht="27" customHeight="1">
      <c r="A2566" s="24">
        <f>HYPERLINK("#'Выбор тем'!E"&amp;MATCH("T-F041B9F5",'Выбор тем'!$A:$A,0),"← Вернуться к теме")</f>
        <v/>
      </c>
    </row>
    <row r="2568" ht="38" customHeight="1">
      <c r="A2568" s="18" t="inlineStr">
        <is>
          <t>Сегментация сети и виртуальные локальные сети (VLAN)</t>
        </is>
      </c>
      <c r="B2568" s="19" t="n"/>
      <c r="C2568" s="19" t="n"/>
      <c r="D2568" s="19" t="n"/>
      <c r="E2568" s="19" t="n"/>
      <c r="F2568" s="19" t="n"/>
      <c r="G2568" s="19" t="n"/>
    </row>
    <row r="2569" ht="26" customHeight="1">
      <c r="A2569" s="3" t="inlineStr">
        <is>
          <t>T-F331D245 · Программы: ОПКС</t>
        </is>
      </c>
      <c r="B2569" s="4" t="n"/>
      <c r="C2569" s="4" t="n"/>
      <c r="D2569" s="4" t="n"/>
      <c r="E2569" s="4" t="n"/>
      <c r="F2569" s="4" t="n"/>
      <c r="G2569" s="4" t="n"/>
    </row>
    <row r="2570" ht="27" customHeight="1">
      <c r="A2570" s="20" t="inlineStr">
        <is>
          <t>Вариант для: ОПКС</t>
        </is>
      </c>
      <c r="B2570" s="21" t="n"/>
      <c r="C2570" s="21" t="n"/>
      <c r="D2570" s="21" t="n"/>
      <c r="E2570" s="21" t="n"/>
      <c r="F2570" s="21" t="n"/>
      <c r="G2570" s="21" t="n"/>
    </row>
    <row r="2571" ht="48" customHeight="1">
      <c r="A2571" s="22" t="inlineStr">
        <is>
          <t>Виртуальные локальные сети (далее – VLAN): назначение, преимущества применения. Типы и виды VLAN. Сегментация VLAN. VLAN на основе стандарта IEEE 802.1Q. Маршрутизация между VLAN.</t>
        </is>
      </c>
      <c r="B2571" s="2" t="n"/>
      <c r="C2571" s="2" t="n"/>
      <c r="D2571" s="2" t="n"/>
      <c r="E2571" s="2" t="n"/>
      <c r="F2571" s="2" t="n"/>
      <c r="G2571" s="2" t="n"/>
    </row>
    <row r="2572" ht="51" customHeight="1">
      <c r="A2572"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9</t>
        </is>
      </c>
      <c r="B2572" s="4" t="n"/>
      <c r="C2572" s="4" t="n"/>
      <c r="D2572" s="4" t="n"/>
      <c r="E2572" s="4" t="n"/>
      <c r="F2572" s="4" t="n"/>
      <c r="G2572" s="4" t="n"/>
    </row>
    <row r="2573" ht="30" customHeight="1">
      <c r="A2573" s="3" t="inlineStr">
        <is>
          <t>В программе: Тема 4. Сегментация сети и виртуальные локальные сети (VLAN) (2 часа лекции, 2 часа лабораторные занятия).</t>
        </is>
      </c>
      <c r="B2573" s="4" t="n"/>
      <c r="C2573" s="4" t="n"/>
      <c r="D2573" s="4" t="n"/>
      <c r="E2573" s="4" t="n"/>
      <c r="F2573" s="4" t="n"/>
      <c r="G2573" s="4" t="n"/>
    </row>
    <row r="2574" ht="25" customHeight="1">
      <c r="A2574" s="23" t="inlineStr">
        <is>
          <t>Исходная программа ОПКС ↗</t>
        </is>
      </c>
      <c r="D2574" s="23" t="inlineStr">
        <is>
          <t>Исходный УТП ОПКС ↗</t>
        </is>
      </c>
    </row>
    <row r="2575" ht="27" customHeight="1">
      <c r="A2575" s="24">
        <f>HYPERLINK("#'Выбор тем'!E"&amp;MATCH("T-F331D245",'Выбор тем'!$A:$A,0),"← Вернуться к теме")</f>
        <v/>
      </c>
    </row>
    <row r="2577" ht="38" customHeight="1">
      <c r="A2577" s="18" t="inlineStr">
        <is>
          <t>Сетевая (IP) адресация и маршрутизация</t>
        </is>
      </c>
      <c r="B2577" s="19" t="n"/>
      <c r="C2577" s="19" t="n"/>
      <c r="D2577" s="19" t="n"/>
      <c r="E2577" s="19" t="n"/>
      <c r="F2577" s="19" t="n"/>
      <c r="G2577" s="19" t="n"/>
    </row>
    <row r="2578" ht="26" customHeight="1">
      <c r="A2578" s="3" t="inlineStr">
        <is>
          <t>T-1EF20152 · Программы: ОПКС</t>
        </is>
      </c>
      <c r="B2578" s="4" t="n"/>
      <c r="C2578" s="4" t="n"/>
      <c r="D2578" s="4" t="n"/>
      <c r="E2578" s="4" t="n"/>
      <c r="F2578" s="4" t="n"/>
      <c r="G2578" s="4" t="n"/>
    </row>
    <row r="2579" ht="27" customHeight="1">
      <c r="A2579" s="20" t="inlineStr">
        <is>
          <t>Вариант для: ОПКС</t>
        </is>
      </c>
      <c r="B2579" s="21" t="n"/>
      <c r="C2579" s="21" t="n"/>
      <c r="D2579" s="21" t="n"/>
      <c r="E2579" s="21" t="n"/>
      <c r="F2579" s="21" t="n"/>
      <c r="G2579" s="21" t="n"/>
    </row>
    <row r="2580" ht="48" customHeight="1">
      <c r="A2580" s="22" t="inlineStr">
        <is>
          <t>Формат IPv4- и IPv6-адресов. Классификация IPv4 и IPv6-адресов. Методы конфигурации IP-адресов на оконечных устройствах. Протокол DHCP: принципы функционирования, формат заголовка. Сравнение работы DHCP для IPv4- и IPv6-адресации.</t>
        </is>
      </c>
      <c r="B2580" s="2" t="n"/>
      <c r="C2580" s="2" t="n"/>
      <c r="D2580" s="2" t="n"/>
      <c r="E2580" s="2" t="n"/>
      <c r="F2580" s="2" t="n"/>
      <c r="G2580" s="2" t="n"/>
    </row>
    <row r="2581" ht="51" customHeight="1">
      <c r="A2581"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11</t>
        </is>
      </c>
      <c r="B2581" s="4" t="n"/>
      <c r="C2581" s="4" t="n"/>
      <c r="D2581" s="4" t="n"/>
      <c r="E2581" s="4" t="n"/>
      <c r="F2581" s="4" t="n"/>
      <c r="G2581" s="4" t="n"/>
    </row>
    <row r="2582" ht="30" customHeight="1">
      <c r="A2582" s="3" t="inlineStr">
        <is>
          <t>В программе: Тема 6. Сетевая (IP) адресация и маршрутизация (2 часа лекции, 2 часа лабораторные занятия).</t>
        </is>
      </c>
      <c r="B2582" s="4" t="n"/>
      <c r="C2582" s="4" t="n"/>
      <c r="D2582" s="4" t="n"/>
      <c r="E2582" s="4" t="n"/>
      <c r="F2582" s="4" t="n"/>
      <c r="G2582" s="4" t="n"/>
    </row>
    <row r="2583" ht="25" customHeight="1">
      <c r="A2583" s="23" t="inlineStr">
        <is>
          <t>Исходная программа ОПКС ↗</t>
        </is>
      </c>
      <c r="D2583" s="23" t="inlineStr">
        <is>
          <t>Исходный УТП ОПКС ↗</t>
        </is>
      </c>
    </row>
    <row r="2584" ht="27" customHeight="1">
      <c r="A2584" s="24">
        <f>HYPERLINK("#'Выбор тем'!E"&amp;MATCH("T-1EF20152",'Выбор тем'!$A:$A,0),"← Вернуться к теме")</f>
        <v/>
      </c>
    </row>
    <row r="2586" ht="38" customHeight="1">
      <c r="A2586" s="18" t="inlineStr">
        <is>
          <t>Симуляция фишинговой атаки: обнаружение (SIEM), обогащение IOC (TI), реакция (SOAR)</t>
        </is>
      </c>
      <c r="B2586" s="19" t="n"/>
      <c r="C2586" s="19" t="n"/>
      <c r="D2586" s="19" t="n"/>
      <c r="E2586" s="19" t="n"/>
      <c r="F2586" s="19" t="n"/>
      <c r="G2586" s="19" t="n"/>
    </row>
    <row r="2587" ht="26" customHeight="1">
      <c r="A2587" s="3" t="inlineStr">
        <is>
          <t>T-9654B8BE · Программы: РКИОК</t>
        </is>
      </c>
      <c r="B2587" s="4" t="n"/>
      <c r="C2587" s="4" t="n"/>
      <c r="D2587" s="4" t="n"/>
      <c r="E2587" s="4" t="n"/>
      <c r="F2587" s="4" t="n"/>
      <c r="G2587" s="4" t="n"/>
    </row>
    <row r="2588" ht="27" customHeight="1">
      <c r="A2588" s="20" t="inlineStr">
        <is>
          <t>Вариант для: РКИОК</t>
        </is>
      </c>
      <c r="B2588" s="21" t="n"/>
      <c r="C2588" s="21" t="n"/>
      <c r="D2588" s="21" t="n"/>
      <c r="E2588" s="21" t="n"/>
      <c r="F2588" s="21" t="n"/>
      <c r="G2588" s="21" t="n"/>
    </row>
    <row r="2589" ht="48" customHeight="1">
      <c r="A2589" s="22" t="inlineStr">
        <is>
          <t>Пошаговый разбор инцидента: от фиксации подозрительного письма до устранения. Извлечение и обогащение индикаторов компрометации через TIP-платформу. Запуск плейбука в SOAR для блокировки, уведомления и документирования действий.</t>
        </is>
      </c>
      <c r="B2589" s="2" t="n"/>
      <c r="C2589" s="2" t="n"/>
      <c r="D2589" s="2" t="n"/>
      <c r="E2589" s="2" t="n"/>
      <c r="F2589" s="2" t="n"/>
      <c r="G2589" s="2" t="n"/>
    </row>
    <row r="2590" ht="51" customHeight="1">
      <c r="A2590" s="3" t="inlineStr">
        <is>
          <t>РКИОК — Реагирование на киберинциденты и отражение кибератак
Раздел: Связь SOAR/TI/SIEM · УТП: таблица 2, строка 70</t>
        </is>
      </c>
      <c r="B2590" s="4" t="n"/>
      <c r="C2590" s="4" t="n"/>
      <c r="D2590" s="4" t="n"/>
      <c r="E2590" s="4" t="n"/>
      <c r="F2590" s="4" t="n"/>
      <c r="G2590" s="4" t="n"/>
    </row>
    <row r="2591" ht="30" customHeight="1">
      <c r="A2591" s="3" t="inlineStr">
        <is>
          <t>В программе: Тема 4. Симуляция фишинговой атаки: обнаружение (SIEM), обогащение IOC (TI), реакция (SOAR) (2 часа практические занятия).</t>
        </is>
      </c>
      <c r="B2591" s="4" t="n"/>
      <c r="C2591" s="4" t="n"/>
      <c r="D2591" s="4" t="n"/>
      <c r="E2591" s="4" t="n"/>
      <c r="F2591" s="4" t="n"/>
      <c r="G2591" s="4" t="n"/>
    </row>
    <row r="2592" ht="25" customHeight="1">
      <c r="A2592" s="23" t="inlineStr">
        <is>
          <t>Исходная программа РКИОК ↗</t>
        </is>
      </c>
      <c r="D2592" s="23" t="inlineStr">
        <is>
          <t>Исходный УТП РКИОК ↗</t>
        </is>
      </c>
    </row>
    <row r="2593" ht="27" customHeight="1">
      <c r="A2593" s="24">
        <f>HYPERLINK("#'Выбор тем'!E"&amp;MATCH("T-9654B8BE",'Выбор тем'!$A:$A,0),"← Вернуться к теме")</f>
        <v/>
      </c>
    </row>
    <row r="2595" ht="38" customHeight="1">
      <c r="A2595" s="18" t="inlineStr">
        <is>
          <t>Система информационной безопасности критически важного объекта информатизации</t>
        </is>
      </c>
      <c r="B2595" s="19" t="n"/>
      <c r="C2595" s="19" t="n"/>
      <c r="D2595" s="19" t="n"/>
      <c r="E2595" s="19" t="n"/>
      <c r="F2595" s="19" t="n"/>
      <c r="G2595" s="19" t="n"/>
    </row>
    <row r="2596" ht="26" customHeight="1">
      <c r="A2596" s="3" t="inlineStr">
        <is>
          <t>T-B989A854 · Программы: КВОИ</t>
        </is>
      </c>
      <c r="B2596" s="4" t="n"/>
      <c r="C2596" s="4" t="n"/>
      <c r="D2596" s="4" t="n"/>
      <c r="E2596" s="4" t="n"/>
      <c r="F2596" s="4" t="n"/>
      <c r="G2596" s="4" t="n"/>
    </row>
    <row r="2597" ht="27" customHeight="1">
      <c r="A2597" s="20" t="inlineStr">
        <is>
          <t>Вариант для: КВОИ</t>
        </is>
      </c>
      <c r="B2597" s="21" t="n"/>
      <c r="C2597" s="21" t="n"/>
      <c r="D2597" s="21" t="n"/>
      <c r="E2597" s="21" t="n"/>
      <c r="F2597" s="21" t="n"/>
      <c r="G2597" s="21" t="n"/>
    </row>
    <row r="2598" ht="32" customHeight="1">
      <c r="A2598" s="22" t="inlineStr">
        <is>
          <t>Обязанности владельцев и подразделения защиты информации (должностного лица) КВОИ.</t>
        </is>
      </c>
      <c r="B2598" s="2" t="n"/>
      <c r="C2598" s="2" t="n"/>
      <c r="D2598" s="2" t="n"/>
      <c r="E2598" s="2" t="n"/>
      <c r="F2598" s="2" t="n"/>
      <c r="G2598" s="2" t="n"/>
    </row>
    <row r="2599" ht="112" customHeight="1">
      <c r="A2599" s="22" t="inlineStr">
        <is>
          <t>Определение состава и структуры системы информационной безопасности, функции ее участников при обеспечении информационной безопасности КВОИ в зависимости от количества таких объектов и (или) особенностей деятельности владельца КВОИ. Создание подразделения защиты информации или назначение уполномоченного ответственного лица. Порядок привлечения организаций, имеющих лицензию на осуществление деятельности по технической и (или) криптографической защите информации. Обязанности подразделения защиты информации (должностного лица) владельца КВОИ. Порядок взаимодействия с иными подразделениями (работниками), обеспечивающими функционирование и эксплуатацию активов КВОИ. Составление плана мероприятий, направленных на повышение уровня знаний работников по вопросам обеспечения информационной безопасности КВОИ, и информирование о возможных рисках и</t>
        </is>
      </c>
      <c r="B2599" s="2" t="n"/>
      <c r="C2599" s="2" t="n"/>
      <c r="D2599" s="2" t="n"/>
      <c r="E2599" s="2" t="n"/>
      <c r="F2599" s="2" t="n"/>
      <c r="G2599" s="2" t="n"/>
    </row>
    <row r="2600" ht="32" customHeight="1">
      <c r="A2600" s="22" t="inlineStr">
        <is>
          <t>угрозах информационной безопасности КВОИ.</t>
        </is>
      </c>
      <c r="B2600" s="2" t="n"/>
      <c r="C2600" s="2" t="n"/>
      <c r="D2600" s="2" t="n"/>
      <c r="E2600" s="2" t="n"/>
      <c r="F2600" s="2" t="n"/>
      <c r="G2600" s="2" t="n"/>
    </row>
    <row r="2601" ht="32" customHeight="1">
      <c r="A2601" s="22" t="inlineStr">
        <is>
          <t>Вопросы тематической дискуссии:</t>
        </is>
      </c>
      <c r="B2601" s="2" t="n"/>
      <c r="C2601" s="2" t="n"/>
      <c r="D2601" s="2" t="n"/>
      <c r="E2601" s="2" t="n"/>
      <c r="F2601" s="2" t="n"/>
      <c r="G2601" s="2" t="n"/>
    </row>
    <row r="2602" ht="32" customHeight="1">
      <c r="A2602" s="22" t="inlineStr">
        <is>
          <t>Особенности распределения ответственности между владельцем КВОИ, подразделением защиты информации и эксплуатационными подразделениями.</t>
        </is>
      </c>
      <c r="B2602" s="2" t="n"/>
      <c r="C2602" s="2" t="n"/>
      <c r="D2602" s="2" t="n"/>
      <c r="E2602" s="2" t="n"/>
      <c r="F2602" s="2" t="n"/>
      <c r="G2602" s="2" t="n"/>
    </row>
    <row r="2603" ht="32" customHeight="1">
      <c r="A2603" s="22" t="inlineStr">
        <is>
          <t>Риски формального назначения ответственного лица без достаточных полномочий, ресурсов и механизмов контроля.</t>
        </is>
      </c>
      <c r="B2603" s="2" t="n"/>
      <c r="C2603" s="2" t="n"/>
      <c r="D2603" s="2" t="n"/>
      <c r="E2603" s="2" t="n"/>
      <c r="F2603" s="2" t="n"/>
      <c r="G2603" s="2" t="n"/>
    </row>
    <row r="2604" ht="48" customHeight="1">
      <c r="A2604" s="22" t="inlineStr">
        <is>
          <t>Практические аспекты привлечения лицензированных организаций при сохранении управляемости процессов обеспечения информационной безопасности КВОИ.</t>
        </is>
      </c>
      <c r="B2604" s="2" t="n"/>
      <c r="C2604" s="2" t="n"/>
      <c r="D2604" s="2" t="n"/>
      <c r="E2604" s="2" t="n"/>
      <c r="F2604" s="2" t="n"/>
      <c r="G2604" s="2" t="n"/>
    </row>
    <row r="2605" ht="32" customHeight="1">
      <c r="A2605" s="22" t="inlineStr">
        <is>
          <t>Проектирование системы информационной безопасности КВОИ.</t>
        </is>
      </c>
      <c r="B2605" s="2" t="n"/>
      <c r="C2605" s="2" t="n"/>
      <c r="D2605" s="2" t="n"/>
      <c r="E2605" s="2" t="n"/>
      <c r="F2605" s="2" t="n"/>
      <c r="G2605" s="2" t="n"/>
    </row>
    <row r="2606" ht="112" customHeight="1">
      <c r="A2606" s="22" t="inlineStr">
        <is>
          <t>Определение внутренних (организационная структура, информационные системы, информационные потоки и процессы) и внешних (взаимосвязи с контрагентами и другое) границ, оказывающих влияние на обеспечение информационной безопасности КВОИ. Определение целей обеспечения информационной безопасности КВОИ, совместимых с процессами деятельности владельца критически важного объекта информатизации и прогнозными документами организации. Инвентаризация активов (выявление и учет), а также определение степени их важности для основной деятельности владельца КВОИ (исходя из конфиденциальности, целостности и доступности). Определение работников, ответственных за использование активов КВОИ. Определение физических и логических границ области применения системы информационной безопасности (формуляр КВОИ) с использованием структурной и логической схем</t>
        </is>
      </c>
      <c r="B2606" s="2" t="n"/>
      <c r="C2606" s="2" t="n"/>
      <c r="D2606" s="2" t="n"/>
      <c r="E2606" s="2" t="n"/>
      <c r="F2606" s="2" t="n"/>
      <c r="G2606" s="2" t="n"/>
    </row>
    <row r="2607" ht="112" customHeight="1">
      <c r="A2607" s="22" t="inlineStr">
        <is>
          <t>критически важного объекта информатизации. Определение угроз информационной безопасности КВОИ. Разработка методологии (методики) оценки рисков информационной безопасности КВОИ и оценка таких рисков. Определение требований к параметрам настройки программных и программно-аппаратных средств, включая средства защиты информации, по обеспечению информационной безопасности КВОИ, блокированию (нейтрализации) угроз информационной безопасности КВОИ. Определение средств управления, необходимых для реализации выбранного варианта обработки рисков информационной безопасности КВОИ (план обработки рисков). Информационное взаимодействие с иными информационными системами, автоматизированными системами управления технологическими процессами или информационно-телекоммуникационными сетями.</t>
        </is>
      </c>
      <c r="B2607" s="2" t="n"/>
      <c r="C2607" s="2" t="n"/>
      <c r="D2607" s="2" t="n"/>
      <c r="E2607" s="2" t="n"/>
      <c r="F2607" s="2" t="n"/>
      <c r="G2607" s="2" t="n"/>
    </row>
    <row r="2608" ht="32" customHeight="1">
      <c r="A2608" s="22" t="inlineStr">
        <is>
          <t>Вопросы тематической дискуссии:</t>
        </is>
      </c>
      <c r="B2608" s="2" t="n"/>
      <c r="C2608" s="2" t="n"/>
      <c r="D2608" s="2" t="n"/>
      <c r="E2608" s="2" t="n"/>
      <c r="F2608" s="2" t="n"/>
      <c r="G2608" s="2" t="n"/>
    </row>
    <row r="2609" ht="48" customHeight="1">
      <c r="A2609" s="22" t="inlineStr">
        <is>
          <t>Особенности согласования физических, логических и организационных границ системы информационной безопасности КВОИ с процессами деятельности организации.</t>
        </is>
      </c>
      <c r="B2609" s="2" t="n"/>
      <c r="C2609" s="2" t="n"/>
      <c r="D2609" s="2" t="n"/>
      <c r="E2609" s="2" t="n"/>
      <c r="F2609" s="2" t="n"/>
      <c r="G2609" s="2" t="n"/>
    </row>
    <row r="2610" ht="32" customHeight="1">
      <c r="A2610" s="22" t="inlineStr">
        <is>
          <t>Риски некорректного определения значимости активов и угроз при проектировании системы информационной безопасности КВОИ.</t>
        </is>
      </c>
      <c r="B2610" s="2" t="n"/>
      <c r="C2610" s="2" t="n"/>
      <c r="D2610" s="2" t="n"/>
      <c r="E2610" s="2" t="n"/>
      <c r="F2610" s="2" t="n"/>
      <c r="G2610" s="2" t="n"/>
    </row>
    <row r="2611" ht="32" customHeight="1">
      <c r="A2611" s="22" t="inlineStr">
        <is>
          <t>Практические аспекты выбора средств управления и вариантов обработки рисков с учетом информационного взаимодействия КВОИ с внешними системами.</t>
        </is>
      </c>
      <c r="B2611" s="2" t="n"/>
      <c r="C2611" s="2" t="n"/>
      <c r="D2611" s="2" t="n"/>
      <c r="E2611" s="2" t="n"/>
      <c r="F2611" s="2" t="n"/>
      <c r="G2611" s="2" t="n"/>
    </row>
    <row r="2612" ht="32" customHeight="1">
      <c r="A2612" s="22" t="inlineStr">
        <is>
          <t>Создание системы информационной безопасности КВОИ.</t>
        </is>
      </c>
      <c r="B2612" s="2" t="n"/>
      <c r="C2612" s="2" t="n"/>
      <c r="D2612" s="2" t="n"/>
      <c r="E2612" s="2" t="n"/>
      <c r="F2612" s="2" t="n"/>
      <c r="G2612" s="2" t="n"/>
    </row>
    <row r="2613" ht="80" customHeight="1">
      <c r="A2613" s="22" t="inlineStr">
        <is>
          <t>Политика информационной безопасности КВОИ. Идентификация и аутентификация. Управление доступом к активам КВОИ. Обращение с носителями информации. Аудит информационной безопасности. Защита от вредоносного программного обеспечения. Управление процедурами резервирования. Обеспечение информационной безопасности КВОИ и его элементов. Управление конфигурацией. Обновление программного обеспечения. Планирование мероприятий по обеспечению информационной безопасности КВОИ. Реагирование на события информационной безопасности КВОИ и управление ими. Информирование и обучение персонала.</t>
        </is>
      </c>
      <c r="B2613" s="2" t="n"/>
      <c r="C2613" s="2" t="n"/>
      <c r="D2613" s="2" t="n"/>
      <c r="E2613" s="2" t="n"/>
      <c r="F2613" s="2" t="n"/>
      <c r="G2613" s="2" t="n"/>
    </row>
    <row r="2614" ht="32" customHeight="1">
      <c r="A2614" s="22" t="inlineStr">
        <is>
          <t>Вопросы тематической дискуссии:</t>
        </is>
      </c>
      <c r="B2614" s="2" t="n"/>
      <c r="C2614" s="2" t="n"/>
      <c r="D2614" s="2" t="n"/>
      <c r="E2614" s="2" t="n"/>
      <c r="F2614" s="2" t="n"/>
      <c r="G2614" s="2" t="n"/>
    </row>
    <row r="2615" ht="32" customHeight="1">
      <c r="A2615" s="22" t="inlineStr">
        <is>
          <t>Особенности интеграции организационных, технических и кадровых мер в единую систему информационной безопасности КВОИ.</t>
        </is>
      </c>
      <c r="B2615" s="2" t="n"/>
      <c r="C2615" s="2" t="n"/>
      <c r="D2615" s="2" t="n"/>
      <c r="E2615" s="2" t="n"/>
      <c r="F2615" s="2" t="n"/>
      <c r="G2615" s="2" t="n"/>
    </row>
    <row r="2616" ht="32" customHeight="1">
      <c r="A2616" s="22" t="inlineStr">
        <is>
          <t>Риски фрагментарного внедрения мер защиты и их влияние на устойчивость функционирования КВОИ.</t>
        </is>
      </c>
      <c r="B2616" s="2" t="n"/>
      <c r="C2616" s="2" t="n"/>
      <c r="D2616" s="2" t="n"/>
      <c r="E2616" s="2" t="n"/>
      <c r="F2616" s="2" t="n"/>
      <c r="G2616" s="2" t="n"/>
    </row>
    <row r="2617" ht="48" customHeight="1">
      <c r="A2617" s="22" t="inlineStr">
        <is>
          <t>Практические аспекты распределения ответственности между подразделениями при создании, сопровождении и развитии системы информационной безопасности КВОИ.</t>
        </is>
      </c>
      <c r="B2617" s="2" t="n"/>
      <c r="C2617" s="2" t="n"/>
      <c r="D2617" s="2" t="n"/>
      <c r="E2617" s="2" t="n"/>
      <c r="F2617" s="2" t="n"/>
      <c r="G2617" s="2" t="n"/>
    </row>
    <row r="2618" ht="51" customHeight="1">
      <c r="A2618"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15</t>
        </is>
      </c>
      <c r="B2618" s="4" t="n"/>
      <c r="C2618" s="4" t="n"/>
      <c r="D2618" s="4" t="n"/>
      <c r="E2618" s="4" t="n"/>
      <c r="F2618" s="4" t="n"/>
      <c r="G2618" s="4" t="n"/>
    </row>
    <row r="2619" ht="30" customHeight="1">
      <c r="A2619" s="3" t="inlineStr">
        <is>
          <t>В программе: Тема 3. Система информационной безопасности критически важного объекта информатизации (9 часов лекции, 3 часа тематическая дискуссия).</t>
        </is>
      </c>
      <c r="B2619" s="4" t="n"/>
      <c r="C2619" s="4" t="n"/>
      <c r="D2619" s="4" t="n"/>
      <c r="E2619" s="4" t="n"/>
      <c r="F2619" s="4" t="n"/>
      <c r="G2619" s="4" t="n"/>
    </row>
    <row r="2620" ht="25" customHeight="1">
      <c r="A2620" s="23" t="inlineStr">
        <is>
          <t>Исходная программа КВОИ ↗</t>
        </is>
      </c>
      <c r="D2620" s="23" t="inlineStr">
        <is>
          <t>Исходный УТП КВОИ ↗</t>
        </is>
      </c>
    </row>
    <row r="2621" ht="27" customHeight="1">
      <c r="A2621" s="24">
        <f>HYPERLINK("#'Выбор тем'!E"&amp;MATCH("T-B989A854",'Выбор тем'!$A:$A,0),"← Вернуться к теме")</f>
        <v/>
      </c>
    </row>
    <row r="2623" ht="38" customHeight="1">
      <c r="A2623" s="18" t="inlineStr">
        <is>
          <t>Система менеджмента информационной безопасности</t>
        </is>
      </c>
      <c r="B2623" s="19" t="n"/>
      <c r="C2623" s="19" t="n"/>
      <c r="D2623" s="19" t="n"/>
      <c r="E2623" s="19" t="n"/>
      <c r="F2623" s="19" t="n"/>
      <c r="G2623" s="19" t="n"/>
    </row>
    <row r="2624" ht="26" customHeight="1">
      <c r="A2624" s="3" t="inlineStr">
        <is>
          <t>T-B15220B1 · Программы: КВОИ</t>
        </is>
      </c>
      <c r="B2624" s="4" t="n"/>
      <c r="C2624" s="4" t="n"/>
      <c r="D2624" s="4" t="n"/>
      <c r="E2624" s="4" t="n"/>
      <c r="F2624" s="4" t="n"/>
      <c r="G2624" s="4" t="n"/>
    </row>
    <row r="2625" ht="27" customHeight="1">
      <c r="A2625" s="20" t="inlineStr">
        <is>
          <t>Вариант для: КВОИ</t>
        </is>
      </c>
      <c r="B2625" s="21" t="n"/>
      <c r="C2625" s="21" t="n"/>
      <c r="D2625" s="21" t="n"/>
      <c r="E2625" s="21" t="n"/>
      <c r="F2625" s="21" t="n"/>
      <c r="G2625" s="21" t="n"/>
    </row>
    <row r="2626" ht="112" customHeight="1">
      <c r="A2626" s="22" t="inlineStr">
        <is>
          <t>Обзор стандартов «Информационные технологии. Методы обеспечения безопасности системы менеджмента информационной безопасности. Общий обзор и словарь СТБ ISO/IEC 27000-2024», «Информационная безопасность, кибербезопасность и защита конфиденциальности системы менеджмента информационной безопасности. Требования СТБ ISO/IEC 27001-2024», «Информационная безопасность, кибербезопасность и защита конфиденциальности. Средства управления информационной безопасностью. СТБ ISO/IEC 27002-2024», «Информационные технологии. Методы обеспечения безопасности. Руководство по внедрению системы менеджмента информационной безопасности. СТБ ISO/IEC 27003-2014» и «Информационная безопасность, кибербезопасность и защита конфиденциальности. Руководство по менеджменту рисков информационной безопасности. Требования СТБ ISO/IEC 27005-2024». Рассмотрение и изучение</t>
        </is>
      </c>
      <c r="B2626" s="2" t="n"/>
      <c r="C2626" s="2" t="n"/>
      <c r="D2626" s="2" t="n"/>
      <c r="E2626" s="2" t="n"/>
      <c r="F2626" s="2" t="n"/>
      <c r="G2626" s="2" t="n"/>
    </row>
    <row r="2627" ht="64" customHeight="1">
      <c r="A2627" s="22" t="inlineStr">
        <is>
          <t>руководства по внедрению СМИБ в соответствии со стандартом СТБ ISO/IEC 27003-2014. Рассмотрение структуры политики информационной безопасности в соответствии с Приложением D стандарта. Особенности составления положения о применимости в соответствии с требованиями Приложения А стандарта СТБ ISO/IEC 27001-2024.</t>
        </is>
      </c>
      <c r="B2627" s="2" t="n"/>
      <c r="C2627" s="2" t="n"/>
      <c r="D2627" s="2" t="n"/>
      <c r="E2627" s="2" t="n"/>
      <c r="F2627" s="2" t="n"/>
      <c r="G2627" s="2" t="n"/>
    </row>
    <row r="2628" ht="32" customHeight="1">
      <c r="A2628" s="22" t="inlineStr">
        <is>
          <t>Вопросы тематической дискуссии:</t>
        </is>
      </c>
      <c r="B2628" s="2" t="n"/>
      <c r="C2628" s="2" t="n"/>
      <c r="D2628" s="2" t="n"/>
      <c r="E2628" s="2" t="n"/>
      <c r="F2628" s="2" t="n"/>
      <c r="G2628" s="2" t="n"/>
    </row>
    <row r="2629" ht="48" customHeight="1">
      <c r="A2629" s="22" t="inlineStr">
        <is>
          <t>Особенности практического применения требований стандартов СТБ ISO/IEC 27001-2024 и СТБ ISO/IEC 27002-2024 при построении системы менеджмента информационной безопасности организации.</t>
        </is>
      </c>
      <c r="B2629" s="2" t="n"/>
      <c r="C2629" s="2" t="n"/>
      <c r="D2629" s="2" t="n"/>
      <c r="E2629" s="2" t="n"/>
      <c r="F2629" s="2" t="n"/>
      <c r="G2629" s="2" t="n"/>
    </row>
    <row r="2630" ht="32" customHeight="1">
      <c r="A2630" s="22" t="inlineStr">
        <is>
          <t>Риски формального внедрения системы менеджмента информационной безопасности без учета целей, процессов и контекста деятельности организации.</t>
        </is>
      </c>
      <c r="B2630" s="2" t="n"/>
      <c r="C2630" s="2" t="n"/>
      <c r="D2630" s="2" t="n"/>
      <c r="E2630" s="2" t="n"/>
      <c r="F2630" s="2" t="n"/>
      <c r="G2630" s="2" t="n"/>
    </row>
    <row r="2631" ht="48" customHeight="1">
      <c r="A2631" s="22" t="inlineStr">
        <is>
          <t>Практические аспекты согласования политики информационной безопасности, положения о применимости и процедур управления рисками в рамках единой системы менеджмента информационной безопасности.</t>
        </is>
      </c>
      <c r="B2631" s="2" t="n"/>
      <c r="C2631" s="2" t="n"/>
      <c r="D2631" s="2" t="n"/>
      <c r="E2631" s="2" t="n"/>
      <c r="F2631" s="2" t="n"/>
      <c r="G2631" s="2" t="n"/>
    </row>
    <row r="2632" ht="51" customHeight="1">
      <c r="A2632"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9</t>
        </is>
      </c>
      <c r="B2632" s="4" t="n"/>
      <c r="C2632" s="4" t="n"/>
      <c r="D2632" s="4" t="n"/>
      <c r="E2632" s="4" t="n"/>
      <c r="F2632" s="4" t="n"/>
      <c r="G2632" s="4" t="n"/>
    </row>
    <row r="2633" ht="30" customHeight="1">
      <c r="A2633" s="3" t="inlineStr">
        <is>
          <t>В программе: Тема 1. Система менеджмента информационной безопасности (3 часа лекции, 1 час тематическая дискуссия).</t>
        </is>
      </c>
      <c r="B2633" s="4" t="n"/>
      <c r="C2633" s="4" t="n"/>
      <c r="D2633" s="4" t="n"/>
      <c r="E2633" s="4" t="n"/>
      <c r="F2633" s="4" t="n"/>
      <c r="G2633" s="4" t="n"/>
    </row>
    <row r="2634" ht="25" customHeight="1">
      <c r="A2634" s="23" t="inlineStr">
        <is>
          <t>Исходная программа КВОИ ↗</t>
        </is>
      </c>
      <c r="D2634" s="23" t="inlineStr">
        <is>
          <t>Исходный УТП КВОИ ↗</t>
        </is>
      </c>
    </row>
    <row r="2635" ht="27" customHeight="1">
      <c r="A2635" s="24">
        <f>HYPERLINK("#'Выбор тем'!E"&amp;MATCH("T-B15220B1",'Выбор тем'!$A:$A,0),"← Вернуться к теме")</f>
        <v/>
      </c>
    </row>
    <row r="2637" ht="38" customHeight="1">
      <c r="A2637" s="18" t="inlineStr">
        <is>
          <t>Системы сбора событий информационной безопасности</t>
        </is>
      </c>
      <c r="B2637" s="19" t="n"/>
      <c r="C2637" s="19" t="n"/>
      <c r="D2637" s="19" t="n"/>
      <c r="E2637" s="19" t="n"/>
      <c r="F2637" s="19" t="n"/>
      <c r="G2637" s="19" t="n"/>
    </row>
    <row r="2638" ht="26" customHeight="1">
      <c r="A2638" s="3" t="inlineStr">
        <is>
          <t>T-5FC18368 · Программы: ПСАЭ</t>
        </is>
      </c>
      <c r="B2638" s="4" t="n"/>
      <c r="C2638" s="4" t="n"/>
      <c r="D2638" s="4" t="n"/>
      <c r="E2638" s="4" t="n"/>
      <c r="F2638" s="4" t="n"/>
      <c r="G2638" s="4" t="n"/>
    </row>
    <row r="2639" ht="27" customHeight="1">
      <c r="A2639" s="20" t="inlineStr">
        <is>
          <t>Вариант для: ПСАЭ</t>
        </is>
      </c>
      <c r="B2639" s="21" t="n"/>
      <c r="C2639" s="21" t="n"/>
      <c r="D2639" s="21" t="n"/>
      <c r="E2639" s="21" t="n"/>
      <c r="F2639" s="21" t="n"/>
      <c r="G2639" s="21" t="n"/>
    </row>
    <row r="2640" ht="32" customHeight="1">
      <c r="A2640" s="22" t="inlineStr">
        <is>
          <t>Архитектура системы сбора событий информационной безопасности. Elastic Stack и его применение.</t>
        </is>
      </c>
      <c r="B2640" s="2" t="n"/>
      <c r="C2640" s="2" t="n"/>
      <c r="D2640" s="2" t="n"/>
      <c r="E2640" s="2" t="n"/>
      <c r="F2640" s="2" t="n"/>
      <c r="G2640" s="2" t="n"/>
    </row>
    <row r="2641" ht="51" customHeight="1">
      <c r="A2641"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24</t>
        </is>
      </c>
      <c r="B2641" s="4" t="n"/>
      <c r="C2641" s="4" t="n"/>
      <c r="D2641" s="4" t="n"/>
      <c r="E2641" s="4" t="n"/>
      <c r="F2641" s="4" t="n"/>
      <c r="G2641" s="4" t="n"/>
    </row>
    <row r="2642" ht="30" customHeight="1">
      <c r="A2642" s="3" t="inlineStr">
        <is>
          <t>В программе: Тема 8. Системы сбора событий информационной безопасности (4 часа лекции).</t>
        </is>
      </c>
      <c r="B2642" s="4" t="n"/>
      <c r="C2642" s="4" t="n"/>
      <c r="D2642" s="4" t="n"/>
      <c r="E2642" s="4" t="n"/>
      <c r="F2642" s="4" t="n"/>
      <c r="G2642" s="4" t="n"/>
    </row>
    <row r="2643" ht="25" customHeight="1">
      <c r="A2643" s="23" t="inlineStr">
        <is>
          <t>Исходная программа ПСАЭ ↗</t>
        </is>
      </c>
      <c r="D2643" s="23" t="inlineStr">
        <is>
          <t>Исходный УТП ПСАЭ ↗</t>
        </is>
      </c>
    </row>
    <row r="2644" ht="27" customHeight="1">
      <c r="A2644" s="24">
        <f>HYPERLINK("#'Выбор тем'!E"&amp;MATCH("T-5FC18368",'Выбор тем'!$A:$A,0),"← Вернуться к теме")</f>
        <v/>
      </c>
    </row>
    <row r="2646" ht="38" customHeight="1">
      <c r="A2646" s="18" t="inlineStr">
        <is>
          <t>Совместное использование протоколов IPv4 и IPv6</t>
        </is>
      </c>
      <c r="B2646" s="19" t="n"/>
      <c r="C2646" s="19" t="n"/>
      <c r="D2646" s="19" t="n"/>
      <c r="E2646" s="19" t="n"/>
      <c r="F2646" s="19" t="n"/>
      <c r="G2646" s="19" t="n"/>
    </row>
    <row r="2647" ht="26" customHeight="1">
      <c r="A2647" s="3" t="inlineStr">
        <is>
          <t>T-C32FEFB2 · Программы: ОКМ</t>
        </is>
      </c>
      <c r="B2647" s="4" t="n"/>
      <c r="C2647" s="4" t="n"/>
      <c r="D2647" s="4" t="n"/>
      <c r="E2647" s="4" t="n"/>
      <c r="F2647" s="4" t="n"/>
      <c r="G2647" s="4" t="n"/>
    </row>
    <row r="2648" ht="27" customHeight="1">
      <c r="A2648" s="20" t="inlineStr">
        <is>
          <t>Вариант для: ОКМ</t>
        </is>
      </c>
      <c r="B2648" s="21" t="n"/>
      <c r="C2648" s="21" t="n"/>
      <c r="D2648" s="21" t="n"/>
      <c r="E2648" s="21" t="n"/>
      <c r="F2648" s="21" t="n"/>
      <c r="G2648" s="21" t="n"/>
    </row>
    <row r="2649" ht="64" customHeight="1">
      <c r="A2649" s="22" t="inlineStr">
        <is>
          <t>Проблемы совместимости IPv6- и IPv4-сетей. Описание методов совместного использования IPv4- и IPv6-протоколов. Описание метода двойного стека, его достоинства и недостатки, принципы настройки. Описание механизма туннелирования, его достоинства и недостатки, принципы настройки. Методы туннелирования для передачи IPv6-пакетов через IPv4-инфраструктуру, а также механизмы трансляции адресов NAT64 и DNS64 для обеспечения совместимости.</t>
        </is>
      </c>
      <c r="B2649" s="2" t="n"/>
      <c r="C2649" s="2" t="n"/>
      <c r="D2649" s="2" t="n"/>
      <c r="E2649" s="2" t="n"/>
      <c r="F2649" s="2" t="n"/>
      <c r="G2649" s="2" t="n"/>
    </row>
    <row r="2650" ht="51" customHeight="1">
      <c r="A2650" s="3" t="inlineStr">
        <is>
          <t>ОКМ — Основы обеспечения кибербезопасности. маршрутизация. IPv4- и IPv6-адресация
Раздел: Маршрутизация. IPv4 и IPv6 адресация · УТП: таблица 2, строка 16</t>
        </is>
      </c>
      <c r="B2650" s="4" t="n"/>
      <c r="C2650" s="4" t="n"/>
      <c r="D2650" s="4" t="n"/>
      <c r="E2650" s="4" t="n"/>
      <c r="F2650" s="4" t="n"/>
      <c r="G2650" s="4" t="n"/>
    </row>
    <row r="2651" ht="30" customHeight="1">
      <c r="A2651" s="3" t="inlineStr">
        <is>
          <t>В программе: Тема 2. Совместное использование протоколов IPv4 и IPv6 (2 часа лекции, 2 часа лабораторные занятия).</t>
        </is>
      </c>
      <c r="B2651" s="4" t="n"/>
      <c r="C2651" s="4" t="n"/>
      <c r="D2651" s="4" t="n"/>
      <c r="E2651" s="4" t="n"/>
      <c r="F2651" s="4" t="n"/>
      <c r="G2651" s="4" t="n"/>
    </row>
    <row r="2652" ht="25" customHeight="1">
      <c r="A2652" s="23" t="inlineStr">
        <is>
          <t>Исходная программа ОКМ ↗</t>
        </is>
      </c>
      <c r="D2652" s="23" t="inlineStr">
        <is>
          <t>Исходный УТП ОКМ ↗</t>
        </is>
      </c>
    </row>
    <row r="2653" ht="27" customHeight="1">
      <c r="A2653" s="24">
        <f>HYPERLINK("#'Выбор тем'!E"&amp;MATCH("T-C32FEFB2",'Выбор тем'!$A:$A,0),"← Вернуться к теме")</f>
        <v/>
      </c>
    </row>
    <row r="2655" ht="38" customHeight="1">
      <c r="A2655" s="18" t="inlineStr">
        <is>
          <t>Совместное функционирование систем SIEM, SOAR и TIP</t>
        </is>
      </c>
      <c r="B2655" s="19" t="n"/>
      <c r="C2655" s="19" t="n"/>
      <c r="D2655" s="19" t="n"/>
      <c r="E2655" s="19" t="n"/>
      <c r="F2655" s="19" t="n"/>
      <c r="G2655" s="19" t="n"/>
    </row>
    <row r="2656" ht="26" customHeight="1">
      <c r="A2656" s="3" t="inlineStr">
        <is>
          <t>T-78EF094E · Программы: ОКБО</t>
        </is>
      </c>
      <c r="B2656" s="4" t="n"/>
      <c r="C2656" s="4" t="n"/>
      <c r="D2656" s="4" t="n"/>
      <c r="E2656" s="4" t="n"/>
      <c r="F2656" s="4" t="n"/>
      <c r="G2656" s="4" t="n"/>
    </row>
    <row r="2657" ht="27" customHeight="1">
      <c r="A2657" s="20" t="inlineStr">
        <is>
          <t>Вариант для: ОКБО</t>
        </is>
      </c>
      <c r="B2657" s="21" t="n"/>
      <c r="C2657" s="21" t="n"/>
      <c r="D2657" s="21" t="n"/>
      <c r="E2657" s="21" t="n"/>
      <c r="F2657" s="21" t="n"/>
      <c r="G2657" s="21" t="n"/>
    </row>
    <row r="2658" ht="31" customHeight="1">
      <c r="A2658" s="25" t="inlineStr">
        <is>
          <t>Тема выделена в обновлённой программе отдельно. В текущем УТП нет отдельной строки с таким названием; источник — программа.</t>
        </is>
      </c>
      <c r="B2658" s="26" t="n"/>
      <c r="C2658" s="26" t="n"/>
      <c r="D2658" s="26" t="n"/>
      <c r="E2658" s="26" t="n"/>
      <c r="F2658" s="26" t="n"/>
      <c r="G2658" s="26" t="n"/>
    </row>
    <row r="2659" ht="48" customHeight="1">
      <c r="A2659" s="22" t="inlineStr">
        <is>
          <t>Организация обмена событиями и данными между тремя системами. Роль каждой платформы в цепочке «детектирование – обогащение – реагирование». Взаимодополняемость и преимущества интегрированного подхода.</t>
        </is>
      </c>
      <c r="B2659" s="2" t="n"/>
      <c r="C2659" s="2" t="n"/>
      <c r="D2659" s="2" t="n"/>
      <c r="E2659" s="2" t="n"/>
      <c r="F2659" s="2" t="n"/>
      <c r="G2659" s="2" t="n"/>
    </row>
    <row r="2660" ht="51" customHeight="1">
      <c r="A2660" s="3" t="inlineStr">
        <is>
          <t>ОКБО — Обеспечение кибербезопасности организаций
Раздел: VII SOAR, TIP – автоматизация реагирования. · Тема добавлена непосредственно из обновлённой программы</t>
        </is>
      </c>
      <c r="B2660" s="4" t="n"/>
      <c r="C2660" s="4" t="n"/>
      <c r="D2660" s="4" t="n"/>
      <c r="E2660" s="4" t="n"/>
      <c r="F2660" s="4" t="n"/>
      <c r="G2660" s="4" t="n"/>
    </row>
    <row r="2661" ht="30" customHeight="1">
      <c r="A2661" s="3" t="inlineStr">
        <is>
          <t>В программе: Тема 3. Совместное функционирование систем SIEM, SOAR и TIP (2 часа лекции).</t>
        </is>
      </c>
      <c r="B2661" s="4" t="n"/>
      <c r="C2661" s="4" t="n"/>
      <c r="D2661" s="4" t="n"/>
      <c r="E2661" s="4" t="n"/>
      <c r="F2661" s="4" t="n"/>
      <c r="G2661" s="4" t="n"/>
    </row>
    <row r="2662" ht="25" customHeight="1">
      <c r="A2662" s="23" t="inlineStr">
        <is>
          <t>Исходная программа ОКБО ↗</t>
        </is>
      </c>
      <c r="D2662" s="23" t="inlineStr">
        <is>
          <t>УТП для сверки ОКБО ↗</t>
        </is>
      </c>
    </row>
    <row r="2663" ht="27" customHeight="1">
      <c r="A2663" s="24">
        <f>HYPERLINK("#'Выбор тем'!E"&amp;MATCH("T-78EF094E",'Выбор тем'!$A:$A,0),"← Вернуться к теме")</f>
        <v/>
      </c>
    </row>
    <row r="2665" ht="38" customHeight="1">
      <c r="A2665" s="18" t="inlineStr">
        <is>
          <t>Совместное функционирование систем SOAR, SIEM и платформ обмена разведданными</t>
        </is>
      </c>
      <c r="B2665" s="19" t="n"/>
      <c r="C2665" s="19" t="n"/>
      <c r="D2665" s="19" t="n"/>
      <c r="E2665" s="19" t="n"/>
      <c r="F2665" s="19" t="n"/>
      <c r="G2665" s="19" t="n"/>
    </row>
    <row r="2666" ht="26" customHeight="1">
      <c r="A2666" s="3" t="inlineStr">
        <is>
          <t>T-089091A6 · Программы: РКИОК</t>
        </is>
      </c>
      <c r="B2666" s="4" t="n"/>
      <c r="C2666" s="4" t="n"/>
      <c r="D2666" s="4" t="n"/>
      <c r="E2666" s="4" t="n"/>
      <c r="F2666" s="4" t="n"/>
      <c r="G2666" s="4" t="n"/>
    </row>
    <row r="2667" ht="27" customHeight="1">
      <c r="A2667" s="20" t="inlineStr">
        <is>
          <t>Вариант для: РКИОК</t>
        </is>
      </c>
      <c r="B2667" s="21" t="n"/>
      <c r="C2667" s="21" t="n"/>
      <c r="D2667" s="21" t="n"/>
      <c r="E2667" s="21" t="n"/>
      <c r="F2667" s="21" t="n"/>
      <c r="G2667" s="21" t="n"/>
    </row>
    <row r="2668" ht="48" customHeight="1">
      <c r="A2668" s="22" t="inlineStr">
        <is>
          <t>Организация обмена событиями и данными между тремя системами. Роль каждой платформы в цепочке «детектирование – обогащение – реагирование». Взаимодополняемость и преимущества интегрированного подхода.</t>
        </is>
      </c>
      <c r="B2668" s="2" t="n"/>
      <c r="C2668" s="2" t="n"/>
      <c r="D2668" s="2" t="n"/>
      <c r="E2668" s="2" t="n"/>
      <c r="F2668" s="2" t="n"/>
      <c r="G2668" s="2" t="n"/>
    </row>
    <row r="2669" ht="51" customHeight="1">
      <c r="A2669" s="3" t="inlineStr">
        <is>
          <t>РКИОК — Реагирование на киберинциденты и отражение кибератак
Раздел: Связь SOAR/TI/SIEM · УТП: таблица 2, строка 67</t>
        </is>
      </c>
      <c r="B2669" s="4" t="n"/>
      <c r="C2669" s="4" t="n"/>
      <c r="D2669" s="4" t="n"/>
      <c r="E2669" s="4" t="n"/>
      <c r="F2669" s="4" t="n"/>
      <c r="G2669" s="4" t="n"/>
    </row>
    <row r="2670" ht="30" customHeight="1">
      <c r="A2670" s="3" t="inlineStr">
        <is>
          <t>В программе: Тема 1. Совместное функционирование систем SOAR, SIEM и платформ обмена разведданными (2 часа лекции).</t>
        </is>
      </c>
      <c r="B2670" s="4" t="n"/>
      <c r="C2670" s="4" t="n"/>
      <c r="D2670" s="4" t="n"/>
      <c r="E2670" s="4" t="n"/>
      <c r="F2670" s="4" t="n"/>
      <c r="G2670" s="4" t="n"/>
    </row>
    <row r="2671" ht="25" customHeight="1">
      <c r="A2671" s="23" t="inlineStr">
        <is>
          <t>Исходная программа РКИОК ↗</t>
        </is>
      </c>
      <c r="D2671" s="23" t="inlineStr">
        <is>
          <t>Исходный УТП РКИОК ↗</t>
        </is>
      </c>
    </row>
    <row r="2672" ht="27" customHeight="1">
      <c r="A2672" s="24">
        <f>HYPERLINK("#'Выбор тем'!E"&amp;MATCH("T-089091A6",'Выбор тем'!$A:$A,0),"← Вернуться к теме")</f>
        <v/>
      </c>
    </row>
    <row r="2674" ht="38" customHeight="1">
      <c r="A2674" s="18" t="inlineStr">
        <is>
          <t>Создание комплексного плейбука с обогащением и ответными действиями</t>
        </is>
      </c>
      <c r="B2674" s="19" t="n"/>
      <c r="C2674" s="19" t="n"/>
      <c r="D2674" s="19" t="n"/>
      <c r="E2674" s="19" t="n"/>
      <c r="F2674" s="19" t="n"/>
      <c r="G2674" s="19" t="n"/>
    </row>
    <row r="2675" ht="26" customHeight="1">
      <c r="A2675" s="3" t="inlineStr">
        <is>
          <t>T-A00F34B3 · Программы: РКИОК</t>
        </is>
      </c>
      <c r="B2675" s="4" t="n"/>
      <c r="C2675" s="4" t="n"/>
      <c r="D2675" s="4" t="n"/>
      <c r="E2675" s="4" t="n"/>
      <c r="F2675" s="4" t="n"/>
      <c r="G2675" s="4" t="n"/>
    </row>
    <row r="2676" ht="27" customHeight="1">
      <c r="A2676" s="20" t="inlineStr">
        <is>
          <t>Вариант для: РКИОК</t>
        </is>
      </c>
      <c r="B2676" s="21" t="n"/>
      <c r="C2676" s="21" t="n"/>
      <c r="D2676" s="21" t="n"/>
      <c r="E2676" s="21" t="n"/>
      <c r="F2676" s="21" t="n"/>
      <c r="G2676" s="21" t="n"/>
    </row>
    <row r="2677" ht="48" customHeight="1">
      <c r="A2677" s="22" t="inlineStr">
        <is>
          <t>Проектирование сценария, объединяющего несколько источников и сервисов. Автоматизированный сбор контекста и принятие решения на основе агрегированных данных. Пошаговое тестирование плейбука и фиксация результатов.</t>
        </is>
      </c>
      <c r="B2677" s="2" t="n"/>
      <c r="C2677" s="2" t="n"/>
      <c r="D2677" s="2" t="n"/>
      <c r="E2677" s="2" t="n"/>
      <c r="F2677" s="2" t="n"/>
      <c r="G2677" s="2" t="n"/>
    </row>
    <row r="2678" ht="51" customHeight="1">
      <c r="A2678" s="3" t="inlineStr">
        <is>
          <t>РКИОК — Реагирование на киберинциденты и отражение кибератак
Раздел: Автоматизация обработки инцидентов · УТП: таблица 2, строка 65</t>
        </is>
      </c>
      <c r="B2678" s="4" t="n"/>
      <c r="C2678" s="4" t="n"/>
      <c r="D2678" s="4" t="n"/>
      <c r="E2678" s="4" t="n"/>
      <c r="F2678" s="4" t="n"/>
      <c r="G2678" s="4" t="n"/>
    </row>
    <row r="2679" ht="30" customHeight="1">
      <c r="A2679" s="3" t="inlineStr">
        <is>
          <t>В программе: Тема 7. Создание комплексного плейбука с обогащением и ответными действиями (2 часа практические занятия).</t>
        </is>
      </c>
      <c r="B2679" s="4" t="n"/>
      <c r="C2679" s="4" t="n"/>
      <c r="D2679" s="4" t="n"/>
      <c r="E2679" s="4" t="n"/>
      <c r="F2679" s="4" t="n"/>
      <c r="G2679" s="4" t="n"/>
    </row>
    <row r="2680" ht="25" customHeight="1">
      <c r="A2680" s="23" t="inlineStr">
        <is>
          <t>Исходная программа РКИОК ↗</t>
        </is>
      </c>
      <c r="D2680" s="23" t="inlineStr">
        <is>
          <t>Исходный УТП РКИОК ↗</t>
        </is>
      </c>
    </row>
    <row r="2681" ht="27" customHeight="1">
      <c r="A2681" s="24">
        <f>HYPERLINK("#'Выбор тем'!E"&amp;MATCH("T-A00F34B3",'Выбор тем'!$A:$A,0),"← Вернуться к теме")</f>
        <v/>
      </c>
    </row>
    <row r="2683" ht="38" customHeight="1">
      <c r="A2683" s="18" t="inlineStr">
        <is>
          <t>Создание сценария автоматизации и устранения угрозы. Поиск уязвимостей в изолированной среде</t>
        </is>
      </c>
      <c r="B2683" s="19" t="n"/>
      <c r="C2683" s="19" t="n"/>
      <c r="D2683" s="19" t="n"/>
      <c r="E2683" s="19" t="n"/>
      <c r="F2683" s="19" t="n"/>
      <c r="G2683" s="19" t="n"/>
    </row>
    <row r="2684" ht="26" customHeight="1">
      <c r="A2684" s="3" t="inlineStr">
        <is>
          <t>T-686A516E · Программы: РКИОК</t>
        </is>
      </c>
      <c r="B2684" s="4" t="n"/>
      <c r="C2684" s="4" t="n"/>
      <c r="D2684" s="4" t="n"/>
      <c r="E2684" s="4" t="n"/>
      <c r="F2684" s="4" t="n"/>
      <c r="G2684" s="4" t="n"/>
    </row>
    <row r="2685" ht="27" customHeight="1">
      <c r="A2685" s="20" t="inlineStr">
        <is>
          <t>Вариант для: РКИОК</t>
        </is>
      </c>
      <c r="B2685" s="21" t="n"/>
      <c r="C2685" s="21" t="n"/>
      <c r="D2685" s="21" t="n"/>
      <c r="E2685" s="21" t="n"/>
      <c r="F2685" s="21" t="n"/>
      <c r="G2685" s="21" t="n"/>
    </row>
    <row r="2686" ht="64" customHeight="1">
      <c r="A2686" s="22" t="inlineStr">
        <is>
          <t>Обзор инфраструктуры и применяемых инструментов. Применение Nmap, Nessus и (или) OpenVAS для сканирования сети и поиска уязвимостей в изолированной среде. Анализ и интерпретация полученных данных. Обсуждение алгоритма действий при возникновении киберинцидента. Реализация сценария устранения угрозы.</t>
        </is>
      </c>
      <c r="B2686" s="2" t="n"/>
      <c r="C2686" s="2" t="n"/>
      <c r="D2686" s="2" t="n"/>
      <c r="E2686" s="2" t="n"/>
      <c r="F2686" s="2" t="n"/>
      <c r="G2686" s="2" t="n"/>
    </row>
    <row r="2687" ht="51" customHeight="1">
      <c r="A2687" s="3" t="inlineStr">
        <is>
          <t>РКИОК — Реагирование на киберинциденты и отражение кибератак
Раздел: Сканирование уязвимостей, скрипты реагирования, скрипты для сбора логов · УТП: таблица 2, строка 32</t>
        </is>
      </c>
      <c r="B2687" s="4" t="n"/>
      <c r="C2687" s="4" t="n"/>
      <c r="D2687" s="4" t="n"/>
      <c r="E2687" s="4" t="n"/>
      <c r="F2687" s="4" t="n"/>
      <c r="G2687" s="4" t="n"/>
    </row>
    <row r="2688" ht="30" customHeight="1">
      <c r="A2688" s="3" t="inlineStr">
        <is>
          <t>В программе: Тема 4. Создание сценария автоматизации и устранения угрозы. Поиск уязвимостей в изолированной среде (2 часа практические занятия).</t>
        </is>
      </c>
      <c r="B2688" s="4" t="n"/>
      <c r="C2688" s="4" t="n"/>
      <c r="D2688" s="4" t="n"/>
      <c r="E2688" s="4" t="n"/>
      <c r="F2688" s="4" t="n"/>
      <c r="G2688" s="4" t="n"/>
    </row>
    <row r="2689" ht="25" customHeight="1">
      <c r="A2689" s="23" t="inlineStr">
        <is>
          <t>Исходная программа РКИОК ↗</t>
        </is>
      </c>
      <c r="D2689" s="23" t="inlineStr">
        <is>
          <t>Исходный УТП РКИОК ↗</t>
        </is>
      </c>
    </row>
    <row r="2690" ht="27" customHeight="1">
      <c r="A2690" s="24">
        <f>HYPERLINK("#'Выбор тем'!E"&amp;MATCH("T-686A516E",'Выбор тем'!$A:$A,0),"← Вернуться к теме")</f>
        <v/>
      </c>
    </row>
    <row r="2692" ht="38" customHeight="1">
      <c r="A2692" s="18" t="inlineStr">
        <is>
          <t>Создание фида угроз. Сценарий обогащения IOC через внешние источники. Интеграция TI в плейбук</t>
        </is>
      </c>
      <c r="B2692" s="19" t="n"/>
      <c r="C2692" s="19" t="n"/>
      <c r="D2692" s="19" t="n"/>
      <c r="E2692" s="19" t="n"/>
      <c r="F2692" s="19" t="n"/>
      <c r="G2692" s="19" t="n"/>
    </row>
    <row r="2693" ht="26" customHeight="1">
      <c r="A2693" s="3" t="inlineStr">
        <is>
          <t>T-D65B56DA · Программы: ОКБО, РКИОК</t>
        </is>
      </c>
      <c r="B2693" s="4" t="n"/>
      <c r="C2693" s="4" t="n"/>
      <c r="D2693" s="4" t="n"/>
      <c r="E2693" s="4" t="n"/>
      <c r="F2693" s="4" t="n"/>
      <c r="G2693" s="4" t="n"/>
    </row>
    <row r="2694" ht="27" customHeight="1">
      <c r="A2694" s="20" t="inlineStr">
        <is>
          <t>Вариант для: ОКБО</t>
        </is>
      </c>
      <c r="B2694" s="21" t="n"/>
      <c r="C2694" s="21" t="n"/>
      <c r="D2694" s="21" t="n"/>
      <c r="E2694" s="21" t="n"/>
      <c r="F2694" s="21" t="n"/>
      <c r="G2694" s="21" t="n"/>
    </row>
    <row r="2695" ht="31" customHeight="1">
      <c r="A2695" s="25" t="inlineStr">
        <is>
          <t>Названия в УТП и обновлённой программе различаются. Приведён фактический текст соответствующего раздела программы.</t>
        </is>
      </c>
      <c r="B2695" s="26" t="n"/>
      <c r="C2695" s="26" t="n"/>
      <c r="D2695" s="26" t="n"/>
      <c r="E2695" s="26" t="n"/>
      <c r="F2695" s="26" t="n"/>
      <c r="G2695" s="26" t="n"/>
    </row>
    <row r="2696" ht="32" customHeight="1">
      <c r="A2696" s="22" t="inlineStr">
        <is>
          <t>Создание и структурирование фида в TIP. Обогащение фида через внешние сервисы. Интеграция фида в плейбук SOAR и настройка автоматизации.</t>
        </is>
      </c>
      <c r="B2696" s="2" t="n"/>
      <c r="C2696" s="2" t="n"/>
      <c r="D2696" s="2" t="n"/>
      <c r="E2696" s="2" t="n"/>
      <c r="F2696" s="2" t="n"/>
      <c r="G2696" s="2" t="n"/>
    </row>
    <row r="2697" ht="51" customHeight="1">
      <c r="A2697" s="3" t="inlineStr">
        <is>
          <t>ОКБО — Обеспечение кибербезопасности организаций
Раздел: Отработка практических заданий на базе киберполигона · УТП: таблица 2, строка 45</t>
        </is>
      </c>
      <c r="B2697" s="4" t="n"/>
      <c r="C2697" s="4" t="n"/>
      <c r="D2697" s="4" t="n"/>
      <c r="E2697" s="4" t="n"/>
      <c r="F2697" s="4" t="n"/>
      <c r="G2697" s="4" t="n"/>
    </row>
    <row r="2698" ht="30" customHeight="1">
      <c r="A2698" s="3" t="inlineStr">
        <is>
          <t>В программе: Тема 2. Создание фида угроз. Сценарий обогащения IOC через внешние источники. Интеграция TI в плейбук (2 часа практические занятия).</t>
        </is>
      </c>
      <c r="B2698" s="4" t="n"/>
      <c r="C2698" s="4" t="n"/>
      <c r="D2698" s="4" t="n"/>
      <c r="E2698" s="4" t="n"/>
      <c r="F2698" s="4" t="n"/>
      <c r="G2698" s="4" t="n"/>
    </row>
    <row r="2699" ht="25" customHeight="1">
      <c r="A2699" s="23" t="inlineStr">
        <is>
          <t>Исходная программа ОКБО ↗</t>
        </is>
      </c>
      <c r="D2699" s="23" t="inlineStr">
        <is>
          <t>Исходный УТП ОКБО ↗</t>
        </is>
      </c>
    </row>
    <row r="2700" ht="27" customHeight="1">
      <c r="A2700" s="20" t="inlineStr">
        <is>
          <t>Вариант для: РКИОК</t>
        </is>
      </c>
      <c r="B2700" s="21" t="n"/>
      <c r="C2700" s="21" t="n"/>
      <c r="D2700" s="21" t="n"/>
      <c r="E2700" s="21" t="n"/>
      <c r="F2700" s="21" t="n"/>
      <c r="G2700" s="21" t="n"/>
    </row>
    <row r="2701" ht="48" customHeight="1">
      <c r="A2701" s="22" t="inlineStr">
        <is>
          <t>Формирование собственного фида на основе собранных IoC. Обогащение и обновление данных через внешние сервисы. Встраивание нового фида в плейбуки SOAR и настройка обновления.</t>
        </is>
      </c>
      <c r="B2701" s="2" t="n"/>
      <c r="C2701" s="2" t="n"/>
      <c r="D2701" s="2" t="n"/>
      <c r="E2701" s="2" t="n"/>
      <c r="F2701" s="2" t="n"/>
      <c r="G2701" s="2" t="n"/>
    </row>
    <row r="2702" ht="51" customHeight="1">
      <c r="A2702" s="3" t="inlineStr">
        <is>
          <t>РКИОК — Реагирование на киберинциденты и отражение кибератак
Раздел: Интеграция и использование TI в ЦКБ · УТП: таблица 2, строка 57</t>
        </is>
      </c>
      <c r="B2702" s="4" t="n"/>
      <c r="C2702" s="4" t="n"/>
      <c r="D2702" s="4" t="n"/>
      <c r="E2702" s="4" t="n"/>
      <c r="F2702" s="4" t="n"/>
      <c r="G2702" s="4" t="n"/>
    </row>
    <row r="2703" ht="30" customHeight="1">
      <c r="A2703" s="3" t="inlineStr">
        <is>
          <t>В программе: Тема 7. Создание фида угроз. Сценарий обогащения IOC через внешние источники. Интеграция TI в плейбук (2 часа практические занятия).</t>
        </is>
      </c>
      <c r="B2703" s="4" t="n"/>
      <c r="C2703" s="4" t="n"/>
      <c r="D2703" s="4" t="n"/>
      <c r="E2703" s="4" t="n"/>
      <c r="F2703" s="4" t="n"/>
      <c r="G2703" s="4" t="n"/>
    </row>
    <row r="2704" ht="25" customHeight="1">
      <c r="A2704" s="23" t="inlineStr">
        <is>
          <t>Исходная программа РКИОК ↗</t>
        </is>
      </c>
      <c r="D2704" s="23" t="inlineStr">
        <is>
          <t>Исходный УТП РКИОК ↗</t>
        </is>
      </c>
    </row>
    <row r="2705" ht="27" customHeight="1">
      <c r="A2705" s="24">
        <f>HYPERLINK("#'Выбор тем'!E"&amp;MATCH("T-D65B56DA",'Выбор тем'!$A:$A,0),"← Вернуться к теме")</f>
        <v/>
      </c>
    </row>
    <row r="2707" ht="48" customHeight="1">
      <c r="A2707" s="18" t="inlineStr">
        <is>
          <t>Сопоставление событий с техниками MITRE ATT&amp;CK, построение цепочки действий злоумышленника, показ примеров атак и их последствий на базе киберполигона</t>
        </is>
      </c>
      <c r="B2707" s="19" t="n"/>
      <c r="C2707" s="19" t="n"/>
      <c r="D2707" s="19" t="n"/>
      <c r="E2707" s="19" t="n"/>
      <c r="F2707" s="19" t="n"/>
      <c r="G2707" s="19" t="n"/>
    </row>
    <row r="2708" ht="26" customHeight="1">
      <c r="A2708" s="3" t="inlineStr">
        <is>
          <t>T-7FD25D51 · Программы: ОКБО</t>
        </is>
      </c>
      <c r="B2708" s="4" t="n"/>
      <c r="C2708" s="4" t="n"/>
      <c r="D2708" s="4" t="n"/>
      <c r="E2708" s="4" t="n"/>
      <c r="F2708" s="4" t="n"/>
      <c r="G2708" s="4" t="n"/>
    </row>
    <row r="2709" ht="27" customHeight="1">
      <c r="A2709" s="20" t="inlineStr">
        <is>
          <t>Вариант для: ОКБО</t>
        </is>
      </c>
      <c r="B2709" s="21" t="n"/>
      <c r="C2709" s="21" t="n"/>
      <c r="D2709" s="21" t="n"/>
      <c r="E2709" s="21" t="n"/>
      <c r="F2709" s="21" t="n"/>
      <c r="G2709" s="21" t="n"/>
    </row>
    <row r="2710" ht="64" customHeight="1">
      <c r="A2710" s="22" t="inlineStr">
        <is>
          <t>Что такое MITRE ATT&amp;CK, её структура и назначение. Знакомство с MITRE ATT&amp;CK Navigator, работа с интерфейсом и практическое применение. Разбор конкретного инцидента, где каждое звено цепочки атаки будет отмечаться в MITRE ATT&amp;CK Navigator. Пример для самостоятельной работы. Обсуждение самостоятельной работы.</t>
        </is>
      </c>
      <c r="B2710" s="2" t="n"/>
      <c r="C2710" s="2" t="n"/>
      <c r="D2710" s="2" t="n"/>
      <c r="E2710" s="2" t="n"/>
      <c r="F2710" s="2" t="n"/>
      <c r="G2710" s="2" t="n"/>
    </row>
    <row r="2711" ht="51" customHeight="1">
      <c r="A2711" s="3" t="inlineStr">
        <is>
          <t>ОКБО — Обеспечение кибербезопасности организаций
Раздел: Защита конечных устройств · УТП: таблица 2, строка 42</t>
        </is>
      </c>
      <c r="B2711" s="4" t="n"/>
      <c r="C2711" s="4" t="n"/>
      <c r="D2711" s="4" t="n"/>
      <c r="E2711" s="4" t="n"/>
      <c r="F2711" s="4" t="n"/>
      <c r="G2711" s="4" t="n"/>
    </row>
    <row r="2712" ht="46" customHeight="1">
      <c r="A2712" s="3" t="inlineStr">
        <is>
          <t>В программе: Тема 4. Сопоставление событий с техниками MITRE ATT&amp;CK, построение цепочки действий злоумышленника, показ примеров атак и их последствий на базе киберполигона (3 часа практические занятия).</t>
        </is>
      </c>
      <c r="B2712" s="4" t="n"/>
      <c r="C2712" s="4" t="n"/>
      <c r="D2712" s="4" t="n"/>
      <c r="E2712" s="4" t="n"/>
      <c r="F2712" s="4" t="n"/>
      <c r="G2712" s="4" t="n"/>
    </row>
    <row r="2713" ht="25" customHeight="1">
      <c r="A2713" s="23" t="inlineStr">
        <is>
          <t>Исходная программа ОКБО ↗</t>
        </is>
      </c>
      <c r="D2713" s="23" t="inlineStr">
        <is>
          <t>Исходный УТП ОКБО ↗</t>
        </is>
      </c>
    </row>
    <row r="2714" ht="27" customHeight="1">
      <c r="A2714" s="24">
        <f>HYPERLINK("#'Выбор тем'!E"&amp;MATCH("T-7FD25D51",'Выбор тем'!$A:$A,0),"← Вернуться к теме")</f>
        <v/>
      </c>
    </row>
    <row r="2716" ht="38" customHeight="1">
      <c r="A2716" s="18" t="inlineStr">
        <is>
          <t>Списки управления доступом</t>
        </is>
      </c>
      <c r="B2716" s="19" t="n"/>
      <c r="C2716" s="19" t="n"/>
      <c r="D2716" s="19" t="n"/>
      <c r="E2716" s="19" t="n"/>
      <c r="F2716" s="19" t="n"/>
      <c r="G2716" s="19" t="n"/>
    </row>
    <row r="2717" ht="26" customHeight="1">
      <c r="A2717" s="3" t="inlineStr">
        <is>
          <t>T-8EEE0E81 · Программы: ТК</t>
        </is>
      </c>
      <c r="B2717" s="4" t="n"/>
      <c r="C2717" s="4" t="n"/>
      <c r="D2717" s="4" t="n"/>
      <c r="E2717" s="4" t="n"/>
      <c r="F2717" s="4" t="n"/>
      <c r="G2717" s="4" t="n"/>
    </row>
    <row r="2718" ht="27" customHeight="1">
      <c r="A2718" s="20" t="inlineStr">
        <is>
          <t>Вариант для: ТК</t>
        </is>
      </c>
      <c r="B2718" s="21" t="n"/>
      <c r="C2718" s="21" t="n"/>
      <c r="D2718" s="21" t="n"/>
      <c r="E2718" s="21" t="n"/>
      <c r="F2718" s="21" t="n"/>
      <c r="G2718" s="21" t="n"/>
    </row>
    <row r="2719" ht="48" customHeight="1">
      <c r="A2719" s="22" t="inlineStr">
        <is>
          <t>Назначение и принцип работы списков управления доступом ACL. Типы ACL и их отличия. Конфигурация стандартных и расширенных списков управления доступа. Номера портов для разных видов протоколов.</t>
        </is>
      </c>
      <c r="B2719" s="2" t="n"/>
      <c r="C2719" s="2" t="n"/>
      <c r="D2719" s="2" t="n"/>
      <c r="E2719" s="2" t="n"/>
      <c r="F2719" s="2" t="n"/>
      <c r="G2719" s="2" t="n"/>
    </row>
    <row r="2720" ht="51" customHeight="1">
      <c r="A2720"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20</t>
        </is>
      </c>
      <c r="B2720" s="4" t="n"/>
      <c r="C2720" s="4" t="n"/>
      <c r="D2720" s="4" t="n"/>
      <c r="E2720" s="4" t="n"/>
      <c r="F2720" s="4" t="n"/>
      <c r="G2720" s="4" t="n"/>
    </row>
    <row r="2721" ht="30" customHeight="1">
      <c r="A2721" s="3" t="inlineStr">
        <is>
          <t>В программе: Тема 8. Списки управления доступом (2 часа лабораторные занятия).</t>
        </is>
      </c>
      <c r="B2721" s="4" t="n"/>
      <c r="C2721" s="4" t="n"/>
      <c r="D2721" s="4" t="n"/>
      <c r="E2721" s="4" t="n"/>
      <c r="F2721" s="4" t="n"/>
      <c r="G2721" s="4" t="n"/>
    </row>
    <row r="2722" ht="25" customHeight="1">
      <c r="A2722" s="23" t="inlineStr">
        <is>
          <t>Исходная программа ТК ↗</t>
        </is>
      </c>
      <c r="D2722" s="23" t="inlineStr">
        <is>
          <t>Исходный УТП ТК ↗</t>
        </is>
      </c>
    </row>
    <row r="2723" ht="27" customHeight="1">
      <c r="A2723" s="24">
        <f>HYPERLINK("#'Выбор тем'!E"&amp;MATCH("T-8EEE0E81",'Выбор тем'!$A:$A,0),"← Вернуться к теме")</f>
        <v/>
      </c>
    </row>
    <row r="2725" ht="38" customHeight="1">
      <c r="A2725" s="18" t="inlineStr">
        <is>
          <t>Средства защиты: антивирусное ПО, брандмауэры, EDR, XDR, UEBA</t>
        </is>
      </c>
      <c r="B2725" s="19" t="n"/>
      <c r="C2725" s="19" t="n"/>
      <c r="D2725" s="19" t="n"/>
      <c r="E2725" s="19" t="n"/>
      <c r="F2725" s="19" t="n"/>
      <c r="G2725" s="19" t="n"/>
    </row>
    <row r="2726" ht="26" customHeight="1">
      <c r="A2726" s="3" t="inlineStr">
        <is>
          <t>T-E8666CD3 · Программы: ОКБО</t>
        </is>
      </c>
      <c r="B2726" s="4" t="n"/>
      <c r="C2726" s="4" t="n"/>
      <c r="D2726" s="4" t="n"/>
      <c r="E2726" s="4" t="n"/>
      <c r="F2726" s="4" t="n"/>
      <c r="G2726" s="4" t="n"/>
    </row>
    <row r="2727" ht="27" customHeight="1">
      <c r="A2727" s="20" t="inlineStr">
        <is>
          <t>Вариант для: ОКБО</t>
        </is>
      </c>
      <c r="B2727" s="21" t="n"/>
      <c r="C2727" s="21" t="n"/>
      <c r="D2727" s="21" t="n"/>
      <c r="E2727" s="21" t="n"/>
      <c r="F2727" s="21" t="n"/>
      <c r="G2727" s="21" t="n"/>
    </row>
    <row r="2728" ht="64" customHeight="1">
      <c r="A2728" s="22" t="inlineStr">
        <is>
          <t>Необходимость защиты конечных устройств. Разновидности средств защиты конечных устройств. Роль каждого средства в системе ИБ. Назначение и принципы работы каждого средства защиты (антивирусное ПО, брандмауэр, EDR, XDR, UEBA). Отличия друг от друга (антивирусное ПО, EDR, XDR). Совместное использование средства защиты.</t>
        </is>
      </c>
      <c r="B2728" s="2" t="n"/>
      <c r="C2728" s="2" t="n"/>
      <c r="D2728" s="2" t="n"/>
      <c r="E2728" s="2" t="n"/>
      <c r="F2728" s="2" t="n"/>
      <c r="G2728" s="2" t="n"/>
    </row>
    <row r="2729" ht="51" customHeight="1">
      <c r="A2729" s="3" t="inlineStr">
        <is>
          <t>ОКБО — Обеспечение кибербезопасности организаций
Раздел: Защита конечных устройств · УТП: таблица 2, строка 39</t>
        </is>
      </c>
      <c r="B2729" s="4" t="n"/>
      <c r="C2729" s="4" t="n"/>
      <c r="D2729" s="4" t="n"/>
      <c r="E2729" s="4" t="n"/>
      <c r="F2729" s="4" t="n"/>
      <c r="G2729" s="4" t="n"/>
    </row>
    <row r="2730" ht="30" customHeight="1">
      <c r="A2730" s="3" t="inlineStr">
        <is>
          <t>В программе: Тема 1. Средства защиты: антивирусное ПО, брандмауэры, EDR, XDR, UEBA (2 часа лекции).</t>
        </is>
      </c>
      <c r="B2730" s="4" t="n"/>
      <c r="C2730" s="4" t="n"/>
      <c r="D2730" s="4" t="n"/>
      <c r="E2730" s="4" t="n"/>
      <c r="F2730" s="4" t="n"/>
      <c r="G2730" s="4" t="n"/>
    </row>
    <row r="2731" ht="25" customHeight="1">
      <c r="A2731" s="23" t="inlineStr">
        <is>
          <t>Исходная программа ОКБО ↗</t>
        </is>
      </c>
      <c r="D2731" s="23" t="inlineStr">
        <is>
          <t>Исходный УТП ОКБО ↗</t>
        </is>
      </c>
    </row>
    <row r="2732" ht="27" customHeight="1">
      <c r="A2732" s="24">
        <f>HYPERLINK("#'Выбор тем'!E"&amp;MATCH("T-E8666CD3",'Выбор тем'!$A:$A,0),"← Вернуться к теме")</f>
        <v/>
      </c>
    </row>
    <row r="2734" ht="38" customHeight="1">
      <c r="A2734" s="18" t="inlineStr">
        <is>
          <t>Средства криптографической защиты информации</t>
        </is>
      </c>
      <c r="B2734" s="19" t="n"/>
      <c r="C2734" s="19" t="n"/>
      <c r="D2734" s="19" t="n"/>
      <c r="E2734" s="19" t="n"/>
      <c r="F2734" s="19" t="n"/>
      <c r="G2734" s="19" t="n"/>
    </row>
    <row r="2735" ht="26" customHeight="1">
      <c r="A2735" s="3" t="inlineStr">
        <is>
          <t>T-F5742C06 · Программы: ККС, КО, ОКМ, ОПКС</t>
        </is>
      </c>
      <c r="B2735" s="4" t="n"/>
      <c r="C2735" s="4" t="n"/>
      <c r="D2735" s="4" t="n"/>
      <c r="E2735" s="4" t="n"/>
      <c r="F2735" s="4" t="n"/>
      <c r="G2735" s="4" t="n"/>
    </row>
    <row r="2736" ht="27" customHeight="1">
      <c r="A2736" s="20" t="inlineStr">
        <is>
          <t>Вариант для: ККС</t>
        </is>
      </c>
      <c r="B2736" s="21" t="n"/>
      <c r="C2736" s="21" t="n"/>
      <c r="D2736" s="21" t="n"/>
      <c r="E2736" s="21" t="n"/>
      <c r="F2736" s="21" t="n"/>
      <c r="G2736" s="21" t="n"/>
    </row>
    <row r="2737" ht="32" customHeight="1">
      <c r="A2737" s="22" t="inlineStr">
        <is>
          <t>Классификация средств криптографической защиты информации.</t>
        </is>
      </c>
      <c r="B2737" s="2" t="n"/>
      <c r="C2737" s="2" t="n"/>
      <c r="D2737" s="2" t="n"/>
      <c r="E2737" s="2" t="n"/>
      <c r="F2737" s="2" t="n"/>
      <c r="G2737" s="2" t="n"/>
    </row>
    <row r="2738" ht="48" customHeight="1">
      <c r="A2738" s="22" t="inlineStr">
        <is>
          <t>Средства криптографической защиты информации, их классификация. Основные функции и задачи, возлагаемые на средства криптографической защиты информации в информационных системах, системах электронного документооборота.</t>
        </is>
      </c>
      <c r="B2738" s="2" t="n"/>
      <c r="C2738" s="2" t="n"/>
      <c r="D2738" s="2" t="n"/>
      <c r="E2738" s="2" t="n"/>
      <c r="F2738" s="2" t="n"/>
      <c r="G2738" s="2" t="n"/>
    </row>
    <row r="2739" ht="32" customHeight="1">
      <c r="A2739" s="22" t="inlineStr">
        <is>
          <t>Требования по безопасности, предъявляемые к средствам криптографической защиты информации.</t>
        </is>
      </c>
      <c r="B2739" s="2" t="n"/>
      <c r="C2739" s="2" t="n"/>
      <c r="D2739" s="2" t="n"/>
      <c r="E2739" s="2" t="n"/>
      <c r="F2739" s="2" t="n"/>
      <c r="G2739" s="2" t="n"/>
    </row>
    <row r="2740" ht="32" customHeight="1">
      <c r="A2740" s="22" t="inlineStr">
        <is>
          <t>Вопросы круглого стола:</t>
        </is>
      </c>
      <c r="B2740" s="2" t="n"/>
      <c r="C2740" s="2" t="n"/>
      <c r="D2740" s="2" t="n"/>
      <c r="E2740" s="2" t="n"/>
      <c r="F2740" s="2" t="n"/>
      <c r="G2740" s="2" t="n"/>
    </row>
    <row r="2741" ht="32" customHeight="1">
      <c r="A2741" s="22" t="inlineStr">
        <is>
          <t>Безопасность и корректность эксплуатации средств криптографической защиты информации.</t>
        </is>
      </c>
      <c r="B2741" s="2" t="n"/>
      <c r="C2741" s="2" t="n"/>
      <c r="D2741" s="2" t="n"/>
      <c r="E2741" s="2" t="n"/>
      <c r="F2741" s="2" t="n"/>
      <c r="G2741" s="2" t="n"/>
    </row>
    <row r="2742" ht="51" customHeight="1">
      <c r="A2742" s="3" t="inlineStr">
        <is>
          <t>ККС — Кибербезопасность корпоративных систем
Раздел: Криптографическая защита информации · УТП: таблица 2, строка 26</t>
        </is>
      </c>
      <c r="B2742" s="4" t="n"/>
      <c r="C2742" s="4" t="n"/>
      <c r="D2742" s="4" t="n"/>
      <c r="E2742" s="4" t="n"/>
      <c r="F2742" s="4" t="n"/>
      <c r="G2742" s="4" t="n"/>
    </row>
    <row r="2743" ht="30" customHeight="1">
      <c r="A2743" s="3" t="inlineStr">
        <is>
          <t>В программе: Тема 2. Средства криптографической защиты информации (1 час лекции, 1 час круглый стол).</t>
        </is>
      </c>
      <c r="B2743" s="4" t="n"/>
      <c r="C2743" s="4" t="n"/>
      <c r="D2743" s="4" t="n"/>
      <c r="E2743" s="4" t="n"/>
      <c r="F2743" s="4" t="n"/>
      <c r="G2743" s="4" t="n"/>
    </row>
    <row r="2744" ht="25" customHeight="1">
      <c r="A2744" s="23" t="inlineStr">
        <is>
          <t>Исходная программа ККС ↗</t>
        </is>
      </c>
      <c r="D2744" s="23" t="inlineStr">
        <is>
          <t>Исходный УТП ККС ↗</t>
        </is>
      </c>
    </row>
    <row r="2745" ht="27" customHeight="1">
      <c r="A2745" s="20" t="inlineStr">
        <is>
          <t>Вариант для: КО</t>
        </is>
      </c>
      <c r="B2745" s="21" t="n"/>
      <c r="C2745" s="21" t="n"/>
      <c r="D2745" s="21" t="n"/>
      <c r="E2745" s="21" t="n"/>
      <c r="F2745" s="21" t="n"/>
      <c r="G2745" s="21" t="n"/>
    </row>
    <row r="2746" ht="31" customHeight="1">
      <c r="A2746" s="25" t="inlineStr">
        <is>
          <t>Названия в УТП и программе различаются; ниже приведён фактический текст соответствующего раздела программы.</t>
        </is>
      </c>
      <c r="B2746" s="26" t="n"/>
      <c r="C2746" s="26" t="n"/>
      <c r="D2746" s="26" t="n"/>
      <c r="E2746" s="26" t="n"/>
      <c r="F2746" s="26" t="n"/>
      <c r="G2746" s="26" t="n"/>
    </row>
    <row r="2747" ht="80" customHeight="1">
      <c r="A2747" s="22" t="inlineStr">
        <is>
          <t>Задачи, решаемые с помощью средств криптографической защиты информации в информационных системах. Требования, предъявляемые к средствам криптографической защиты информации в информационных системах.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средств криптографической защиты информации в информационных системах.</t>
        </is>
      </c>
      <c r="B2747" s="2" t="n"/>
      <c r="C2747" s="2" t="n"/>
      <c r="D2747" s="2" t="n"/>
      <c r="E2747" s="2" t="n"/>
      <c r="F2747" s="2" t="n"/>
      <c r="G2747" s="2" t="n"/>
    </row>
    <row r="2748" ht="51" customHeight="1">
      <c r="A2748" s="3" t="inlineStr">
        <is>
          <t>КО — Кибербезопасность государственных и иных организаций
Раздел: Криптографическая защита информации. · УТП: таблица 2, строка 23</t>
        </is>
      </c>
      <c r="B2748" s="4" t="n"/>
      <c r="C2748" s="4" t="n"/>
      <c r="D2748" s="4" t="n"/>
      <c r="E2748" s="4" t="n"/>
      <c r="F2748" s="4" t="n"/>
      <c r="G2748" s="4" t="n"/>
    </row>
    <row r="2749" ht="30" customHeight="1">
      <c r="A2749" s="3" t="inlineStr">
        <is>
          <t>В программе: Тема 1. Средства криптографической защиты информации (2 часа лекции).</t>
        </is>
      </c>
      <c r="B2749" s="4" t="n"/>
      <c r="C2749" s="4" t="n"/>
      <c r="D2749" s="4" t="n"/>
      <c r="E2749" s="4" t="n"/>
      <c r="F2749" s="4" t="n"/>
      <c r="G2749" s="4" t="n"/>
    </row>
    <row r="2750" ht="25" customHeight="1">
      <c r="A2750" s="23" t="inlineStr">
        <is>
          <t>Исходная программа КО ↗</t>
        </is>
      </c>
      <c r="D2750" s="23" t="inlineStr">
        <is>
          <t>Исходный УТП КО ↗</t>
        </is>
      </c>
    </row>
    <row r="2751" ht="27" customHeight="1">
      <c r="A2751" s="20" t="inlineStr">
        <is>
          <t>Вариант для: ОКМ</t>
        </is>
      </c>
      <c r="B2751" s="21" t="n"/>
      <c r="C2751" s="21" t="n"/>
      <c r="D2751" s="21" t="n"/>
      <c r="E2751" s="21" t="n"/>
      <c r="F2751" s="21" t="n"/>
      <c r="G2751" s="21" t="n"/>
    </row>
    <row r="2752" ht="64" customHeight="1">
      <c r="A2752" s="22" t="inlineStr">
        <is>
          <t>Задачи, решаемые с помощью криптографических средств защиты информации. Требования, предъявляемые к криптографическим средствам защиты информации.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криптографических средств защиты информации.</t>
        </is>
      </c>
      <c r="B2752" s="2" t="n"/>
      <c r="C2752" s="2" t="n"/>
      <c r="D2752" s="2" t="n"/>
      <c r="E2752" s="2" t="n"/>
      <c r="F2752" s="2" t="n"/>
      <c r="G2752" s="2" t="n"/>
    </row>
    <row r="2753" ht="51" customHeight="1">
      <c r="A2753"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11</t>
        </is>
      </c>
      <c r="B2753" s="4" t="n"/>
      <c r="C2753" s="4" t="n"/>
      <c r="D2753" s="4" t="n"/>
      <c r="E2753" s="4" t="n"/>
      <c r="F2753" s="4" t="n"/>
      <c r="G2753" s="4" t="n"/>
    </row>
    <row r="2754" ht="30" customHeight="1">
      <c r="A2754" s="3" t="inlineStr">
        <is>
          <t>В программе: Тема 6. Криптографические средства защиты информации (4 часа лекции).</t>
        </is>
      </c>
      <c r="B2754" s="4" t="n"/>
      <c r="C2754" s="4" t="n"/>
      <c r="D2754" s="4" t="n"/>
      <c r="E2754" s="4" t="n"/>
      <c r="F2754" s="4" t="n"/>
      <c r="G2754" s="4" t="n"/>
    </row>
    <row r="2755" ht="25" customHeight="1">
      <c r="A2755" s="23" t="inlineStr">
        <is>
          <t>Исходная программа ОКМ ↗</t>
        </is>
      </c>
      <c r="D2755" s="23" t="inlineStr">
        <is>
          <t>Исходный УТП ОКМ ↗</t>
        </is>
      </c>
    </row>
    <row r="2756" ht="27" customHeight="1">
      <c r="A2756" s="20" t="inlineStr">
        <is>
          <t>Вариант для: ОПКС</t>
        </is>
      </c>
      <c r="B2756" s="21" t="n"/>
      <c r="C2756" s="21" t="n"/>
      <c r="D2756" s="21" t="n"/>
      <c r="E2756" s="21" t="n"/>
      <c r="F2756" s="21" t="n"/>
      <c r="G2756" s="21" t="n"/>
    </row>
    <row r="2757" ht="80" customHeight="1">
      <c r="A2757" s="22" t="inlineStr">
        <is>
          <t>Задачи, решаемые с помощью криптографических средств защиты информации в информационных системах. Требования, предъявляемые к криптографическим средствам защиты информации в информационных системах. Симметричные и асимметричные криптосистемы. Электронная цифровая подпись. Идентификация, аутентификация и авторизация. Организационные мероприятия, сопровождающие внедрение и эксплуатацию криптографических средств защиты информации в информационных системах.</t>
        </is>
      </c>
      <c r="B2757" s="2" t="n"/>
      <c r="C2757" s="2" t="n"/>
      <c r="D2757" s="2" t="n"/>
      <c r="E2757" s="2" t="n"/>
      <c r="F2757" s="2" t="n"/>
      <c r="G2757" s="2" t="n"/>
    </row>
    <row r="2758" ht="51" customHeight="1">
      <c r="A2758"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24</t>
        </is>
      </c>
      <c r="B2758" s="4" t="n"/>
      <c r="C2758" s="4" t="n"/>
      <c r="D2758" s="4" t="n"/>
      <c r="E2758" s="4" t="n"/>
      <c r="F2758" s="4" t="n"/>
      <c r="G2758" s="4" t="n"/>
    </row>
    <row r="2759" ht="30" customHeight="1">
      <c r="A2759" s="3" t="inlineStr">
        <is>
          <t>В программе: Тема 7. Средства криптографической защиты информации (4 часа лекции).</t>
        </is>
      </c>
      <c r="B2759" s="4" t="n"/>
      <c r="C2759" s="4" t="n"/>
      <c r="D2759" s="4" t="n"/>
      <c r="E2759" s="4" t="n"/>
      <c r="F2759" s="4" t="n"/>
      <c r="G2759" s="4" t="n"/>
    </row>
    <row r="2760" ht="25" customHeight="1">
      <c r="A2760" s="23" t="inlineStr">
        <is>
          <t>Исходная программа ОПКС ↗</t>
        </is>
      </c>
      <c r="D2760" s="23" t="inlineStr">
        <is>
          <t>Исходный УТП ОПКС ↗</t>
        </is>
      </c>
    </row>
    <row r="2761" ht="27" customHeight="1">
      <c r="A2761" s="24">
        <f>HYPERLINK("#'Выбор тем'!E"&amp;MATCH("T-F5742C06",'Выбор тем'!$A:$A,0),"← Вернуться к теме")</f>
        <v/>
      </c>
    </row>
    <row r="2763" ht="38" customHeight="1">
      <c r="A2763" s="18" t="inlineStr">
        <is>
          <t>Средства технической защиты информации</t>
        </is>
      </c>
      <c r="B2763" s="19" t="n"/>
      <c r="C2763" s="19" t="n"/>
      <c r="D2763" s="19" t="n"/>
      <c r="E2763" s="19" t="n"/>
      <c r="F2763" s="19" t="n"/>
      <c r="G2763" s="19" t="n"/>
    </row>
    <row r="2764" ht="26" customHeight="1">
      <c r="A2764" s="3" t="inlineStr">
        <is>
          <t>T-10FDD2AB · Программы: АКБ, АУРИК, ЗИКС, ККС, ОПКС</t>
        </is>
      </c>
      <c r="B2764" s="4" t="n"/>
      <c r="C2764" s="4" t="n"/>
      <c r="D2764" s="4" t="n"/>
      <c r="E2764" s="4" t="n"/>
      <c r="F2764" s="4" t="n"/>
      <c r="G2764" s="4" t="n"/>
    </row>
    <row r="2765" ht="27" customHeight="1">
      <c r="A2765" s="20" t="inlineStr">
        <is>
          <t>Вариант для: АКБ</t>
        </is>
      </c>
      <c r="B2765" s="21" t="n"/>
      <c r="C2765" s="21" t="n"/>
      <c r="D2765" s="21" t="n"/>
      <c r="E2765" s="21" t="n"/>
      <c r="F2765" s="21" t="n"/>
      <c r="G2765" s="21" t="n"/>
    </row>
    <row r="2766" ht="112" customHeight="1">
      <c r="A2766"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контроля за внешними подключениями к информационной системе.</t>
        </is>
      </c>
      <c r="B2766" s="2" t="n"/>
      <c r="C2766" s="2" t="n"/>
      <c r="D2766" s="2" t="n"/>
      <c r="E2766" s="2" t="n"/>
      <c r="F2766" s="2" t="n"/>
      <c r="G2766" s="2" t="n"/>
    </row>
    <row r="2767" ht="32" customHeight="1">
      <c r="A2767" s="22" t="inlineStr">
        <is>
          <t>Вопросы круглого стола:</t>
        </is>
      </c>
      <c r="B2767" s="2" t="n"/>
      <c r="C2767" s="2" t="n"/>
      <c r="D2767" s="2" t="n"/>
      <c r="E2767" s="2" t="n"/>
      <c r="F2767" s="2" t="n"/>
      <c r="G2767" s="2" t="n"/>
    </row>
    <row r="2768" ht="48" customHeight="1">
      <c r="A2768" s="22" t="inlineStr">
        <is>
          <t>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t>
        </is>
      </c>
      <c r="B2768" s="2" t="n"/>
      <c r="C2768" s="2" t="n"/>
      <c r="D2768" s="2" t="n"/>
      <c r="E2768" s="2" t="n"/>
      <c r="F2768" s="2" t="n"/>
      <c r="G2768" s="2" t="n"/>
    </row>
    <row r="2769" ht="51" customHeight="1">
      <c r="A2769" s="3" t="inlineStr">
        <is>
          <t>АКБ — Администратор кибербезопасности
Раздел: Практические аспекты обеспечения кибербезопасности · УТП: таблица 2, строка 13</t>
        </is>
      </c>
      <c r="B2769" s="4" t="n"/>
      <c r="C2769" s="4" t="n"/>
      <c r="D2769" s="4" t="n"/>
      <c r="E2769" s="4" t="n"/>
      <c r="F2769" s="4" t="n"/>
      <c r="G2769" s="4" t="n"/>
    </row>
    <row r="2770" ht="30" customHeight="1">
      <c r="A2770" s="3" t="inlineStr">
        <is>
          <t>В программе: Тема 2. Средства технической защиты информации (3 часа лекции, 1 час круглый стол).</t>
        </is>
      </c>
      <c r="B2770" s="4" t="n"/>
      <c r="C2770" s="4" t="n"/>
      <c r="D2770" s="4" t="n"/>
      <c r="E2770" s="4" t="n"/>
      <c r="F2770" s="4" t="n"/>
      <c r="G2770" s="4" t="n"/>
    </row>
    <row r="2771" ht="25" customHeight="1">
      <c r="A2771" s="23" t="inlineStr">
        <is>
          <t>Исходная программа АКБ ↗</t>
        </is>
      </c>
      <c r="D2771" s="23" t="inlineStr">
        <is>
          <t>Исходный УТП АКБ ↗</t>
        </is>
      </c>
    </row>
    <row r="2772" ht="27" customHeight="1">
      <c r="A2772" s="20" t="inlineStr">
        <is>
          <t>Вариант для: АУРИК, ЗИКС, ОПКС</t>
        </is>
      </c>
      <c r="B2772" s="21" t="n"/>
      <c r="C2772" s="21" t="n"/>
      <c r="D2772" s="21" t="n"/>
      <c r="E2772" s="21" t="n"/>
      <c r="F2772" s="21" t="n"/>
      <c r="G2772" s="21" t="n"/>
    </row>
    <row r="2773" ht="112" customHeight="1">
      <c r="A2773"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2773" s="2" t="n"/>
      <c r="C2773" s="2" t="n"/>
      <c r="D2773" s="2" t="n"/>
      <c r="E2773" s="2" t="n"/>
      <c r="F2773" s="2" t="n"/>
      <c r="G2773" s="2" t="n"/>
    </row>
    <row r="2774" ht="32" customHeight="1">
      <c r="A2774" s="22" t="inlineStr">
        <is>
          <t>внешними подключениями к информационной системе.</t>
        </is>
      </c>
      <c r="B2774" s="2" t="n"/>
      <c r="C2774" s="2" t="n"/>
      <c r="D2774" s="2" t="n"/>
      <c r="E2774" s="2" t="n"/>
      <c r="F2774" s="2" t="n"/>
      <c r="G2774" s="2" t="n"/>
    </row>
    <row r="2775" ht="51" customHeight="1">
      <c r="A2775"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10</t>
        </is>
      </c>
      <c r="B2775" s="4" t="n"/>
      <c r="C2775" s="4" t="n"/>
      <c r="D2775" s="4" t="n"/>
      <c r="E2775" s="4" t="n"/>
      <c r="F2775" s="4" t="n"/>
      <c r="G2775" s="4" t="n"/>
    </row>
    <row r="2776" ht="30" customHeight="1">
      <c r="A2776" s="3" t="inlineStr">
        <is>
          <t>В программе: Тема 2. Средства технической защиты информации (2 часа лекции, 2 часа круглый стол).</t>
        </is>
      </c>
      <c r="B2776" s="4" t="n"/>
      <c r="C2776" s="4" t="n"/>
      <c r="D2776" s="4" t="n"/>
      <c r="E2776" s="4" t="n"/>
      <c r="F2776" s="4" t="n"/>
      <c r="G2776" s="4" t="n"/>
    </row>
    <row r="2777" ht="25" customHeight="1">
      <c r="A2777" s="23" t="inlineStr">
        <is>
          <t>Исходная программа АУРИК ↗</t>
        </is>
      </c>
      <c r="D2777" s="23" t="inlineStr">
        <is>
          <t>Исходный УТП АУРИК ↗</t>
        </is>
      </c>
    </row>
    <row r="2778" ht="51" customHeight="1">
      <c r="A2778" s="3" t="inlineStr">
        <is>
          <t>ЗИКС — Защита информации в корпоративных системах
Раздел: Проектирование, создание и аттестация систем защиты информации. · УТП: таблица 2, строка 10</t>
        </is>
      </c>
      <c r="B2778" s="4" t="n"/>
      <c r="C2778" s="4" t="n"/>
      <c r="D2778" s="4" t="n"/>
      <c r="E2778" s="4" t="n"/>
      <c r="F2778" s="4" t="n"/>
      <c r="G2778" s="4" t="n"/>
    </row>
    <row r="2779" ht="30" customHeight="1">
      <c r="A2779" s="3" t="inlineStr">
        <is>
          <t>В программе: Тема 2. Средства технической защиты информации (3 часа лекции, 1 час круглый стол).</t>
        </is>
      </c>
      <c r="B2779" s="4" t="n"/>
      <c r="C2779" s="4" t="n"/>
      <c r="D2779" s="4" t="n"/>
      <c r="E2779" s="4" t="n"/>
      <c r="F2779" s="4" t="n"/>
      <c r="G2779" s="4" t="n"/>
    </row>
    <row r="2780" ht="25" customHeight="1">
      <c r="A2780" s="23" t="inlineStr">
        <is>
          <t>Исходная программа ЗИКС ↗</t>
        </is>
      </c>
      <c r="D2780" s="23" t="inlineStr">
        <is>
          <t>Исходный УТП ЗИКС ↗</t>
        </is>
      </c>
    </row>
    <row r="2781" ht="51" customHeight="1">
      <c r="A2781"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23</t>
        </is>
      </c>
      <c r="B2781" s="4" t="n"/>
      <c r="C2781" s="4" t="n"/>
      <c r="D2781" s="4" t="n"/>
      <c r="E2781" s="4" t="n"/>
      <c r="F2781" s="4" t="n"/>
      <c r="G2781" s="4" t="n"/>
    </row>
    <row r="2782" ht="30" customHeight="1">
      <c r="A2782" s="3" t="inlineStr">
        <is>
          <t>В программе: Тема 6. Средства технической защиты информации (4 часа лекции).</t>
        </is>
      </c>
      <c r="B2782" s="4" t="n"/>
      <c r="C2782" s="4" t="n"/>
      <c r="D2782" s="4" t="n"/>
      <c r="E2782" s="4" t="n"/>
      <c r="F2782" s="4" t="n"/>
      <c r="G2782" s="4" t="n"/>
    </row>
    <row r="2783" ht="25" customHeight="1">
      <c r="A2783" s="23" t="inlineStr">
        <is>
          <t>Исходная программа ОПКС ↗</t>
        </is>
      </c>
      <c r="D2783" s="23" t="inlineStr">
        <is>
          <t>Исходный УТП ОПКС ↗</t>
        </is>
      </c>
    </row>
    <row r="2784" ht="27" customHeight="1">
      <c r="A2784" s="20" t="inlineStr">
        <is>
          <t>Вариант для: ККС</t>
        </is>
      </c>
      <c r="B2784" s="21" t="n"/>
      <c r="C2784" s="21" t="n"/>
      <c r="D2784" s="21" t="n"/>
      <c r="E2784" s="21" t="n"/>
      <c r="F2784" s="21" t="n"/>
      <c r="G2784" s="21" t="n"/>
    </row>
    <row r="2785" ht="32" customHeight="1">
      <c r="A2785" s="22" t="inlineStr">
        <is>
          <t>Программно-аппаратные средства защиты информации.</t>
        </is>
      </c>
      <c r="B2785" s="2" t="n"/>
      <c r="C2785" s="2" t="n"/>
      <c r="D2785" s="2" t="n"/>
      <c r="E2785" s="2" t="n"/>
      <c r="F2785" s="2" t="n"/>
      <c r="G2785" s="2" t="n"/>
    </row>
    <row r="2786" ht="64" customHeight="1">
      <c r="A2786" s="22" t="inlineStr">
        <is>
          <t>Технические, программные и программно-аппаратные средства защиты информации. Внедрение и использование программно-аппаратных средств защиты. Сертифицированные программно-аппаратные средства защиты информации от несанкционированного доступа в компьютерных системах. Типы и классы средств защиты информации в информационных системах, основные возможности и механизмы.</t>
        </is>
      </c>
      <c r="B2786" s="2" t="n"/>
      <c r="C2786" s="2" t="n"/>
      <c r="D2786" s="2" t="n"/>
      <c r="E2786" s="2" t="n"/>
      <c r="F2786" s="2" t="n"/>
      <c r="G2786" s="2" t="n"/>
    </row>
    <row r="2787" ht="32" customHeight="1">
      <c r="A2787" s="22" t="inlineStr">
        <is>
          <t>Вопросы круглого стола:</t>
        </is>
      </c>
      <c r="B2787" s="2" t="n"/>
      <c r="C2787" s="2" t="n"/>
      <c r="D2787" s="2" t="n"/>
      <c r="E2787" s="2" t="n"/>
      <c r="F2787" s="2" t="n"/>
      <c r="G2787" s="2" t="n"/>
    </row>
    <row r="2788" ht="48" customHeight="1">
      <c r="A2788" s="22" t="inlineStr">
        <is>
          <t>Использование средств защиты информации при построении систем защиты информации информационных систем, предназначенных для обработки информации, распространение и (или) предоставление которой ограничено.</t>
        </is>
      </c>
      <c r="B2788" s="2" t="n"/>
      <c r="C2788" s="2" t="n"/>
      <c r="D2788" s="2" t="n"/>
      <c r="E2788" s="2" t="n"/>
      <c r="F2788" s="2" t="n"/>
      <c r="G2788" s="2" t="n"/>
    </row>
    <row r="2789" ht="51" customHeight="1">
      <c r="A2789" s="3" t="inlineStr">
        <is>
          <t>ККС — Кибербезопасность корпоративных систем
Раздел: Технические меры по обеспечению кибербезопасности · УТП: таблица 2, строка 21</t>
        </is>
      </c>
      <c r="B2789" s="4" t="n"/>
      <c r="C2789" s="4" t="n"/>
      <c r="D2789" s="4" t="n"/>
      <c r="E2789" s="4" t="n"/>
      <c r="F2789" s="4" t="n"/>
      <c r="G2789" s="4" t="n"/>
    </row>
    <row r="2790" ht="30" customHeight="1">
      <c r="A2790" s="3" t="inlineStr">
        <is>
          <t>В программе: Тема 7. Средства технической защиты информации (2 часа лекции, 2 часа круглый стол).</t>
        </is>
      </c>
      <c r="B2790" s="4" t="n"/>
      <c r="C2790" s="4" t="n"/>
      <c r="D2790" s="4" t="n"/>
      <c r="E2790" s="4" t="n"/>
      <c r="F2790" s="4" t="n"/>
      <c r="G2790" s="4" t="n"/>
    </row>
    <row r="2791" ht="25" customHeight="1">
      <c r="A2791" s="23" t="inlineStr">
        <is>
          <t>Исходная программа ККС ↗</t>
        </is>
      </c>
      <c r="D2791" s="23" t="inlineStr">
        <is>
          <t>Исходный УТП ККС ↗</t>
        </is>
      </c>
    </row>
    <row r="2792" ht="27" customHeight="1">
      <c r="A2792" s="24">
        <f>HYPERLINK("#'Выбор тем'!E"&amp;MATCH("T-10FDD2AB",'Выбор тем'!$A:$A,0),"← Вернуться к теме")</f>
        <v/>
      </c>
    </row>
    <row r="2794" ht="38" customHeight="1">
      <c r="A2794" s="18" t="inlineStr">
        <is>
          <t>Сценарии анализа: вредоносные IP, домены, хэши</t>
        </is>
      </c>
      <c r="B2794" s="19" t="n"/>
      <c r="C2794" s="19" t="n"/>
      <c r="D2794" s="19" t="n"/>
      <c r="E2794" s="19" t="n"/>
      <c r="F2794" s="19" t="n"/>
      <c r="G2794" s="19" t="n"/>
    </row>
    <row r="2795" ht="26" customHeight="1">
      <c r="A2795" s="3" t="inlineStr">
        <is>
          <t>T-CA997851 · Программы: РКИОК</t>
        </is>
      </c>
      <c r="B2795" s="4" t="n"/>
      <c r="C2795" s="4" t="n"/>
      <c r="D2795" s="4" t="n"/>
      <c r="E2795" s="4" t="n"/>
      <c r="F2795" s="4" t="n"/>
      <c r="G2795" s="4" t="n"/>
    </row>
    <row r="2796" ht="27" customHeight="1">
      <c r="A2796" s="20" t="inlineStr">
        <is>
          <t>Вариант для: РКИОК</t>
        </is>
      </c>
      <c r="B2796" s="21" t="n"/>
      <c r="C2796" s="21" t="n"/>
      <c r="D2796" s="21" t="n"/>
      <c r="E2796" s="21" t="n"/>
      <c r="F2796" s="21" t="n"/>
      <c r="G2796" s="21" t="n"/>
    </row>
    <row r="2797" ht="48" customHeight="1">
      <c r="A2797" s="22" t="inlineStr">
        <is>
          <t>Методика проверки репутации и взаимосвязей IP-адресов и доменов. Анализ хэшей файлов с использованием множества источников. Рекомендации по блокировке или дальнейшему расследованию.</t>
        </is>
      </c>
      <c r="B2797" s="2" t="n"/>
      <c r="C2797" s="2" t="n"/>
      <c r="D2797" s="2" t="n"/>
      <c r="E2797" s="2" t="n"/>
      <c r="F2797" s="2" t="n"/>
      <c r="G2797" s="2" t="n"/>
    </row>
    <row r="2798" ht="51" customHeight="1">
      <c r="A2798" s="3" t="inlineStr">
        <is>
          <t>РКИОК — Реагирование на киберинциденты и отражение кибератак
Раздел: Интеграция и использование TI в ЦКБ · УТП: таблица 2, строка 56</t>
        </is>
      </c>
      <c r="B2798" s="4" t="n"/>
      <c r="C2798" s="4" t="n"/>
      <c r="D2798" s="4" t="n"/>
      <c r="E2798" s="4" t="n"/>
      <c r="F2798" s="4" t="n"/>
      <c r="G2798" s="4" t="n"/>
    </row>
    <row r="2799" ht="30" customHeight="1">
      <c r="A2799" s="3" t="inlineStr">
        <is>
          <t>В программе: Тема 6. Сценарии анализа: вредоносные IP, домены, хэши (1 час лекции).</t>
        </is>
      </c>
      <c r="B2799" s="4" t="n"/>
      <c r="C2799" s="4" t="n"/>
      <c r="D2799" s="4" t="n"/>
      <c r="E2799" s="4" t="n"/>
      <c r="F2799" s="4" t="n"/>
      <c r="G2799" s="4" t="n"/>
    </row>
    <row r="2800" ht="25" customHeight="1">
      <c r="A2800" s="23" t="inlineStr">
        <is>
          <t>Исходная программа РКИОК ↗</t>
        </is>
      </c>
      <c r="D2800" s="23" t="inlineStr">
        <is>
          <t>Исходный УТП РКИОК ↗</t>
        </is>
      </c>
    </row>
    <row r="2801" ht="27" customHeight="1">
      <c r="A2801" s="24">
        <f>HYPERLINK("#'Выбор тем'!E"&amp;MATCH("T-CA997851",'Выбор тем'!$A:$A,0),"← Вернуться к теме")</f>
        <v/>
      </c>
    </row>
    <row r="2803" ht="38" customHeight="1">
      <c r="A2803" s="18" t="inlineStr">
        <is>
          <t>Технические средства защиты информации</t>
        </is>
      </c>
      <c r="B2803" s="19" t="n"/>
      <c r="C2803" s="19" t="n"/>
      <c r="D2803" s="19" t="n"/>
      <c r="E2803" s="19" t="n"/>
      <c r="F2803" s="19" t="n"/>
      <c r="G2803" s="19" t="n"/>
    </row>
    <row r="2804" ht="26" customHeight="1">
      <c r="A2804" s="3" t="inlineStr">
        <is>
          <t>T-F9900139 · Программы: ОКМ</t>
        </is>
      </c>
      <c r="B2804" s="4" t="n"/>
      <c r="C2804" s="4" t="n"/>
      <c r="D2804" s="4" t="n"/>
      <c r="E2804" s="4" t="n"/>
      <c r="F2804" s="4" t="n"/>
      <c r="G2804" s="4" t="n"/>
    </row>
    <row r="2805" ht="27" customHeight="1">
      <c r="A2805" s="20" t="inlineStr">
        <is>
          <t>Вариант для: ОКМ</t>
        </is>
      </c>
      <c r="B2805" s="21" t="n"/>
      <c r="C2805" s="21" t="n"/>
      <c r="D2805" s="21" t="n"/>
      <c r="E2805" s="21" t="n"/>
      <c r="F2805" s="21" t="n"/>
      <c r="G2805" s="21" t="n"/>
    </row>
    <row r="2806" ht="64" customHeight="1">
      <c r="A2806" s="22" t="inlineStr">
        <is>
          <t>Задачи, решаемые с помощью технических средств защиты информации. Требования, предъявляемые к техническим средствам защиты информации. Защита от вредоносных программ: назначение и особенности применения. Средства анализа и фильтрации трафика в информационных системах: назначение и особенности применения. Организационные мероприятия, сопровождающие внедрение и эксплуатацию технических средств защиты информации.</t>
        </is>
      </c>
      <c r="B2806" s="2" t="n"/>
      <c r="C2806" s="2" t="n"/>
      <c r="D2806" s="2" t="n"/>
      <c r="E2806" s="2" t="n"/>
      <c r="F2806" s="2" t="n"/>
      <c r="G2806" s="2" t="n"/>
    </row>
    <row r="2807" ht="51" customHeight="1">
      <c r="A2807"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10</t>
        </is>
      </c>
      <c r="B2807" s="4" t="n"/>
      <c r="C2807" s="4" t="n"/>
      <c r="D2807" s="4" t="n"/>
      <c r="E2807" s="4" t="n"/>
      <c r="F2807" s="4" t="n"/>
      <c r="G2807" s="4" t="n"/>
    </row>
    <row r="2808" ht="30" customHeight="1">
      <c r="A2808" s="3" t="inlineStr">
        <is>
          <t>В программе: Тема 5. Технические средства защиты информации (4 часа лекции).</t>
        </is>
      </c>
      <c r="B2808" s="4" t="n"/>
      <c r="C2808" s="4" t="n"/>
      <c r="D2808" s="4" t="n"/>
      <c r="E2808" s="4" t="n"/>
      <c r="F2808" s="4" t="n"/>
      <c r="G2808" s="4" t="n"/>
    </row>
    <row r="2809" ht="25" customHeight="1">
      <c r="A2809" s="23" t="inlineStr">
        <is>
          <t>Исходная программа ОКМ ↗</t>
        </is>
      </c>
      <c r="D2809" s="23" t="inlineStr">
        <is>
          <t>Исходный УТП ОКМ ↗</t>
        </is>
      </c>
    </row>
    <row r="2810" ht="27" customHeight="1">
      <c r="A2810" s="24">
        <f>HYPERLINK("#'Выбор тем'!E"&amp;MATCH("T-F9900139",'Выбор тем'!$A:$A,0),"← Вернуться к теме")</f>
        <v/>
      </c>
    </row>
    <row r="2812" ht="38" customHeight="1">
      <c r="A2812" s="18" t="inlineStr">
        <is>
          <t>Технические средства защиты информации. Проблемы безопасности беспроводных сетей и интернета вещей</t>
        </is>
      </c>
      <c r="B2812" s="19" t="n"/>
      <c r="C2812" s="19" t="n"/>
      <c r="D2812" s="19" t="n"/>
      <c r="E2812" s="19" t="n"/>
      <c r="F2812" s="19" t="n"/>
      <c r="G2812" s="19" t="n"/>
    </row>
    <row r="2813" ht="26" customHeight="1">
      <c r="A2813" s="3" t="inlineStr">
        <is>
          <t>T-AC32D2AB · Программы: КО</t>
        </is>
      </c>
      <c r="B2813" s="4" t="n"/>
      <c r="C2813" s="4" t="n"/>
      <c r="D2813" s="4" t="n"/>
      <c r="E2813" s="4" t="n"/>
      <c r="F2813" s="4" t="n"/>
      <c r="G2813" s="4" t="n"/>
    </row>
    <row r="2814" ht="27" customHeight="1">
      <c r="A2814" s="20" t="inlineStr">
        <is>
          <t>Вариант для: КО</t>
        </is>
      </c>
      <c r="B2814" s="21" t="n"/>
      <c r="C2814" s="21" t="n"/>
      <c r="D2814" s="21" t="n"/>
      <c r="E2814" s="21" t="n"/>
      <c r="F2814" s="21" t="n"/>
      <c r="G2814" s="21" t="n"/>
    </row>
    <row r="2815" ht="32" customHeight="1">
      <c r="A2815" s="22" t="inlineStr">
        <is>
          <t>Задачи, решаемые с помощью технических средств защиты информации</t>
        </is>
      </c>
      <c r="B2815" s="2" t="n"/>
      <c r="C2815" s="2" t="n"/>
      <c r="D2815" s="2" t="n"/>
      <c r="E2815" s="2" t="n"/>
      <c r="F2815" s="2" t="n"/>
      <c r="G2815" s="2" t="n"/>
    </row>
    <row r="2816" ht="32" customHeight="1">
      <c r="A2816" s="22" t="inlineStr">
        <is>
          <t>в информационных системах. Требования, предъявляемые к техническим средствам защиты информации в информационных системах. Защита</t>
        </is>
      </c>
      <c r="B2816" s="2" t="n"/>
      <c r="C2816" s="2" t="n"/>
      <c r="D2816" s="2" t="n"/>
      <c r="E2816" s="2" t="n"/>
      <c r="F2816" s="2" t="n"/>
      <c r="G2816" s="2" t="n"/>
    </row>
    <row r="2817" ht="32" customHeight="1">
      <c r="A2817" s="22" t="inlineStr">
        <is>
          <t>от вредоносных программ: назначение и особенности применения. Средства анализа и фильтрации трафика в информационных системах: назначение</t>
        </is>
      </c>
      <c r="B2817" s="2" t="n"/>
      <c r="C2817" s="2" t="n"/>
      <c r="D2817" s="2" t="n"/>
      <c r="E2817" s="2" t="n"/>
      <c r="F2817" s="2" t="n"/>
      <c r="G2817" s="2" t="n"/>
    </row>
    <row r="2818" ht="32" customHeight="1">
      <c r="A2818" s="22" t="inlineStr">
        <is>
          <t>и особенности применения. Организационные мероприятия, сопровождающие внедрение и эксплуатацию технических средств защиты информации</t>
        </is>
      </c>
      <c r="B2818" s="2" t="n"/>
      <c r="C2818" s="2" t="n"/>
      <c r="D2818" s="2" t="n"/>
      <c r="E2818" s="2" t="n"/>
      <c r="F2818" s="2" t="n"/>
      <c r="G2818" s="2" t="n"/>
    </row>
    <row r="2819" ht="32" customHeight="1">
      <c r="A2819" s="22" t="inlineStr">
        <is>
          <t>в информационных системах.</t>
        </is>
      </c>
      <c r="B2819" s="2" t="n"/>
      <c r="C2819" s="2" t="n"/>
      <c r="D2819" s="2" t="n"/>
      <c r="E2819" s="2" t="n"/>
      <c r="F2819" s="2" t="n"/>
      <c r="G2819" s="2" t="n"/>
    </row>
    <row r="2820" ht="51" customHeight="1">
      <c r="A2820" s="3" t="inlineStr">
        <is>
          <t>КО — Кибербезопасность государственных и иных организаций
Раздел: Меры по обеспечению кибербезопасности. · УТП: таблица 2, строка 16</t>
        </is>
      </c>
      <c r="B2820" s="4" t="n"/>
      <c r="C2820" s="4" t="n"/>
      <c r="D2820" s="4" t="n"/>
      <c r="E2820" s="4" t="n"/>
      <c r="F2820" s="4" t="n"/>
      <c r="G2820" s="4" t="n"/>
    </row>
    <row r="2821" ht="30" customHeight="1">
      <c r="A2821" s="3" t="inlineStr">
        <is>
          <t>В программе: Тема 4. Технические средства защиты информации. Проблемы безопасности беспроводных сетей и интернета вещей (2 часа лекции, 2 часа круглый стол).</t>
        </is>
      </c>
      <c r="B2821" s="4" t="n"/>
      <c r="C2821" s="4" t="n"/>
      <c r="D2821" s="4" t="n"/>
      <c r="E2821" s="4" t="n"/>
      <c r="F2821" s="4" t="n"/>
      <c r="G2821" s="4" t="n"/>
    </row>
    <row r="2822" ht="25" customHeight="1">
      <c r="A2822" s="23" t="inlineStr">
        <is>
          <t>Исходная программа КО ↗</t>
        </is>
      </c>
      <c r="D2822" s="23" t="inlineStr">
        <is>
          <t>Исходный УТП КО ↗</t>
        </is>
      </c>
    </row>
    <row r="2823" ht="27" customHeight="1">
      <c r="A2823" s="24">
        <f>HYPERLINK("#'Выбор тем'!E"&amp;MATCH("T-AC32D2AB",'Выбор тем'!$A:$A,0),"← Вернуться к теме")</f>
        <v/>
      </c>
    </row>
    <row r="2825" ht="38" customHeight="1">
      <c r="A2825" s="18" t="inlineStr">
        <is>
          <t>Технологии организации VPN-туннелей</t>
        </is>
      </c>
      <c r="B2825" s="19" t="n"/>
      <c r="C2825" s="19" t="n"/>
      <c r="D2825" s="19" t="n"/>
      <c r="E2825" s="19" t="n"/>
      <c r="F2825" s="19" t="n"/>
      <c r="G2825" s="19" t="n"/>
    </row>
    <row r="2826" ht="26" customHeight="1">
      <c r="A2826" s="3" t="inlineStr">
        <is>
          <t>T-91C88926 · Программы: ТК</t>
        </is>
      </c>
      <c r="B2826" s="4" t="n"/>
      <c r="C2826" s="4" t="n"/>
      <c r="D2826" s="4" t="n"/>
      <c r="E2826" s="4" t="n"/>
      <c r="F2826" s="4" t="n"/>
      <c r="G2826" s="4" t="n"/>
    </row>
    <row r="2827" ht="27" customHeight="1">
      <c r="A2827" s="20" t="inlineStr">
        <is>
          <t>Вариант для: ТК</t>
        </is>
      </c>
      <c r="B2827" s="21" t="n"/>
      <c r="C2827" s="21" t="n"/>
      <c r="D2827" s="21" t="n"/>
      <c r="E2827" s="21" t="n"/>
      <c r="F2827" s="21" t="n"/>
      <c r="G2827" s="21" t="n"/>
    </row>
    <row r="2828" ht="64" customHeight="1">
      <c r="A2828" s="22" t="inlineStr">
        <is>
          <t>Назначения технологии VPN. Типы протоколов туннелирования. Описание протокола GRE. Структура пакета, передаваемого через Site-to-Site VPN. Этапы инкапсулирования пакета при использовании технологии Site-to-Site VPN. Описание IPsec. Описание процесса создания защищенного соединения по технологии IPsec.</t>
        </is>
      </c>
      <c r="B2828" s="2" t="n"/>
      <c r="C2828" s="2" t="n"/>
      <c r="D2828" s="2" t="n"/>
      <c r="E2828" s="2" t="n"/>
      <c r="F2828" s="2" t="n"/>
      <c r="G2828" s="2" t="n"/>
    </row>
    <row r="2829" ht="32" customHeight="1">
      <c r="A2829" s="22" t="inlineStr">
        <is>
          <t>Вопросы круглого стола:</t>
        </is>
      </c>
      <c r="B2829" s="2" t="n"/>
      <c r="C2829" s="2" t="n"/>
      <c r="D2829" s="2" t="n"/>
      <c r="E2829" s="2" t="n"/>
      <c r="F2829" s="2" t="n"/>
      <c r="G2829" s="2" t="n"/>
    </row>
    <row r="2830" ht="32" customHeight="1">
      <c r="A2830" s="22" t="inlineStr">
        <is>
          <t>Достоинства технологии VPN;</t>
        </is>
      </c>
      <c r="B2830" s="2" t="n"/>
      <c r="C2830" s="2" t="n"/>
      <c r="D2830" s="2" t="n"/>
      <c r="E2830" s="2" t="n"/>
      <c r="F2830" s="2" t="n"/>
      <c r="G2830" s="2" t="n"/>
    </row>
    <row r="2831" ht="32" customHeight="1">
      <c r="A2831" s="22" t="inlineStr">
        <is>
          <t>Сравнение основных типов сетей VPN.</t>
        </is>
      </c>
      <c r="B2831" s="2" t="n"/>
      <c r="C2831" s="2" t="n"/>
      <c r="D2831" s="2" t="n"/>
      <c r="E2831" s="2" t="n"/>
      <c r="F2831" s="2" t="n"/>
      <c r="G2831" s="2" t="n"/>
    </row>
    <row r="2832" ht="51" customHeight="1">
      <c r="A2832"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18</t>
        </is>
      </c>
      <c r="B2832" s="4" t="n"/>
      <c r="C2832" s="4" t="n"/>
      <c r="D2832" s="4" t="n"/>
      <c r="E2832" s="4" t="n"/>
      <c r="F2832" s="4" t="n"/>
      <c r="G2832" s="4" t="n"/>
    </row>
    <row r="2833" ht="30" customHeight="1">
      <c r="A2833" s="3" t="inlineStr">
        <is>
          <t>В программе: Тема 6. Технологии организации VPN-туннелей (2 часа лекции, 2 круглый стол).</t>
        </is>
      </c>
      <c r="B2833" s="4" t="n"/>
      <c r="C2833" s="4" t="n"/>
      <c r="D2833" s="4" t="n"/>
      <c r="E2833" s="4" t="n"/>
      <c r="F2833" s="4" t="n"/>
      <c r="G2833" s="4" t="n"/>
    </row>
    <row r="2834" ht="25" customHeight="1">
      <c r="A2834" s="23" t="inlineStr">
        <is>
          <t>Исходная программа ТК ↗</t>
        </is>
      </c>
      <c r="D2834" s="23" t="inlineStr">
        <is>
          <t>Исходный УТП ТК ↗</t>
        </is>
      </c>
    </row>
    <row r="2835" ht="27" customHeight="1">
      <c r="A2835" s="24">
        <f>HYPERLINK("#'Выбор тем'!E"&amp;MATCH("T-91C88926",'Выбор тем'!$A:$A,0),"← Вернуться к теме")</f>
        <v/>
      </c>
    </row>
    <row r="2837" ht="38" customHeight="1">
      <c r="A2837" s="18" t="inlineStr">
        <is>
          <t>Технологии трансляции IP-адресов</t>
        </is>
      </c>
      <c r="B2837" s="19" t="n"/>
      <c r="C2837" s="19" t="n"/>
      <c r="D2837" s="19" t="n"/>
      <c r="E2837" s="19" t="n"/>
      <c r="F2837" s="19" t="n"/>
      <c r="G2837" s="19" t="n"/>
    </row>
    <row r="2838" ht="26" customHeight="1">
      <c r="A2838" s="3" t="inlineStr">
        <is>
          <t>T-56CB2759 · Программы: ОКМ</t>
        </is>
      </c>
      <c r="B2838" s="4" t="n"/>
      <c r="C2838" s="4" t="n"/>
      <c r="D2838" s="4" t="n"/>
      <c r="E2838" s="4" t="n"/>
      <c r="F2838" s="4" t="n"/>
      <c r="G2838" s="4" t="n"/>
    </row>
    <row r="2839" ht="27" customHeight="1">
      <c r="A2839" s="20" t="inlineStr">
        <is>
          <t>Вариант для: ОКМ</t>
        </is>
      </c>
      <c r="B2839" s="21" t="n"/>
      <c r="C2839" s="21" t="n"/>
      <c r="D2839" s="21" t="n"/>
      <c r="E2839" s="21" t="n"/>
      <c r="F2839" s="21" t="n"/>
      <c r="G2839" s="21" t="n"/>
    </row>
    <row r="2840" ht="32" customHeight="1">
      <c r="A2840" s="22" t="inlineStr">
        <is>
          <t>Назначение и принципы трансляции IP-адресов. Терминология NAT. Виды NAT. Конфигурация статического, динамического NAT и PAT.</t>
        </is>
      </c>
      <c r="B2840" s="2" t="n"/>
      <c r="C2840" s="2" t="n"/>
      <c r="D2840" s="2" t="n"/>
      <c r="E2840" s="2" t="n"/>
      <c r="F2840" s="2" t="n"/>
      <c r="G2840" s="2" t="n"/>
    </row>
    <row r="2841" ht="51" customHeight="1">
      <c r="A2841" s="3" t="inlineStr">
        <is>
          <t>ОКМ — Основы обеспечения кибербезопасности. маршрутизация. IPv4- и IPv6-адресация
Раздел: Маршрутизация. IPv4 и IPv6 адресация · УТП: таблица 2, строка 17</t>
        </is>
      </c>
      <c r="B2841" s="4" t="n"/>
      <c r="C2841" s="4" t="n"/>
      <c r="D2841" s="4" t="n"/>
      <c r="E2841" s="4" t="n"/>
      <c r="F2841" s="4" t="n"/>
      <c r="G2841" s="4" t="n"/>
    </row>
    <row r="2842" ht="30" customHeight="1">
      <c r="A2842" s="3" t="inlineStr">
        <is>
          <t>В программе: Тема 3. Технологии трансляции IP-адресов (2 часа лекции, 2 часа лабораторные занятия).</t>
        </is>
      </c>
      <c r="B2842" s="4" t="n"/>
      <c r="C2842" s="4" t="n"/>
      <c r="D2842" s="4" t="n"/>
      <c r="E2842" s="4" t="n"/>
      <c r="F2842" s="4" t="n"/>
      <c r="G2842" s="4" t="n"/>
    </row>
    <row r="2843" ht="25" customHeight="1">
      <c r="A2843" s="23" t="inlineStr">
        <is>
          <t>Исходная программа ОКМ ↗</t>
        </is>
      </c>
      <c r="D2843" s="23" t="inlineStr">
        <is>
          <t>Исходный УТП ОКМ ↗</t>
        </is>
      </c>
    </row>
    <row r="2844" ht="27" customHeight="1">
      <c r="A2844" s="24">
        <f>HYPERLINK("#'Выбор тем'!E"&amp;MATCH("T-56CB2759",'Выбор тем'!$A:$A,0),"← Вернуться к теме")</f>
        <v/>
      </c>
    </row>
    <row r="2846" ht="38" customHeight="1">
      <c r="A2846" s="18" t="inlineStr">
        <is>
          <t>Технологии электронной цифровой подписи</t>
        </is>
      </c>
      <c r="B2846" s="19" t="n"/>
      <c r="C2846" s="19" t="n"/>
      <c r="D2846" s="19" t="n"/>
      <c r="E2846" s="19" t="n"/>
      <c r="F2846" s="19" t="n"/>
      <c r="G2846" s="19" t="n"/>
    </row>
    <row r="2847" ht="26" customHeight="1">
      <c r="A2847" s="3" t="inlineStr">
        <is>
          <t>T-13F397A0 · Программы: ККС</t>
        </is>
      </c>
      <c r="B2847" s="4" t="n"/>
      <c r="C2847" s="4" t="n"/>
      <c r="D2847" s="4" t="n"/>
      <c r="E2847" s="4" t="n"/>
      <c r="F2847" s="4" t="n"/>
      <c r="G2847" s="4" t="n"/>
    </row>
    <row r="2848" ht="27" customHeight="1">
      <c r="A2848" s="20" t="inlineStr">
        <is>
          <t>Вариант для: ККС</t>
        </is>
      </c>
      <c r="B2848" s="21" t="n"/>
      <c r="C2848" s="21" t="n"/>
      <c r="D2848" s="21" t="n"/>
      <c r="E2848" s="21" t="n"/>
      <c r="F2848" s="21" t="n"/>
      <c r="G2848" s="21" t="n"/>
    </row>
    <row r="2849" ht="64" customHeight="1">
      <c r="A2849" s="22" t="inlineStr">
        <is>
          <t>История развития цифровой подписи. Законодательство в сфере электронного документа и электронной цифровой подписи. Требования к электронному документу. Структура электронного документа. Государственная система управления открытыми ключами. Государственное регулирование в сфере обращения электронных документов и электронной цифровой подписи.</t>
        </is>
      </c>
      <c r="B2849" s="2" t="n"/>
      <c r="C2849" s="2" t="n"/>
      <c r="D2849" s="2" t="n"/>
      <c r="E2849" s="2" t="n"/>
      <c r="F2849" s="2" t="n"/>
      <c r="G2849" s="2" t="n"/>
    </row>
    <row r="2850" ht="32" customHeight="1">
      <c r="A2850" s="22" t="inlineStr">
        <is>
          <t>Вопросы круглого стола:</t>
        </is>
      </c>
      <c r="B2850" s="2" t="n"/>
      <c r="C2850" s="2" t="n"/>
      <c r="D2850" s="2" t="n"/>
      <c r="E2850" s="2" t="n"/>
      <c r="F2850" s="2" t="n"/>
      <c r="G2850" s="2" t="n"/>
    </row>
    <row r="2851" ht="48" customHeight="1">
      <c r="A2851" s="22" t="inlineStr">
        <is>
          <t>Перспективные технические нормативные правовые акты, регламентирующие деятельность в сфере защиты информации с использованием электронной цифровой подписи.</t>
        </is>
      </c>
      <c r="B2851" s="2" t="n"/>
      <c r="C2851" s="2" t="n"/>
      <c r="D2851" s="2" t="n"/>
      <c r="E2851" s="2" t="n"/>
      <c r="F2851" s="2" t="n"/>
      <c r="G2851" s="2" t="n"/>
    </row>
    <row r="2852" ht="51" customHeight="1">
      <c r="A2852" s="3" t="inlineStr">
        <is>
          <t>ККС — Кибербезопасность корпоративных систем
Раздел: Криптографическая защита информации · УТП: таблица 2, строка 27</t>
        </is>
      </c>
      <c r="B2852" s="4" t="n"/>
      <c r="C2852" s="4" t="n"/>
      <c r="D2852" s="4" t="n"/>
      <c r="E2852" s="4" t="n"/>
      <c r="F2852" s="4" t="n"/>
      <c r="G2852" s="4" t="n"/>
    </row>
    <row r="2853" ht="30" customHeight="1">
      <c r="A2853" s="3" t="inlineStr">
        <is>
          <t>В программе: Тема 3. Технологии электронной цифровой подписи (2 часа лекции, 2 часа круглый стол).</t>
        </is>
      </c>
      <c r="B2853" s="4" t="n"/>
      <c r="C2853" s="4" t="n"/>
      <c r="D2853" s="4" t="n"/>
      <c r="E2853" s="4" t="n"/>
      <c r="F2853" s="4" t="n"/>
      <c r="G2853" s="4" t="n"/>
    </row>
    <row r="2854" ht="25" customHeight="1">
      <c r="A2854" s="23" t="inlineStr">
        <is>
          <t>Исходная программа ККС ↗</t>
        </is>
      </c>
      <c r="D2854" s="23" t="inlineStr">
        <is>
          <t>Исходный УТП ККС ↗</t>
        </is>
      </c>
    </row>
    <row r="2855" ht="27" customHeight="1">
      <c r="A2855" s="24">
        <f>HYPERLINK("#'Выбор тем'!E"&amp;MATCH("T-13F397A0",'Выбор тем'!$A:$A,0),"← Вернуться к теме")</f>
        <v/>
      </c>
    </row>
    <row r="2857" ht="38" customHeight="1">
      <c r="A2857" s="18" t="inlineStr">
        <is>
          <t>Технология изоляции Sandbox</t>
        </is>
      </c>
      <c r="B2857" s="19" t="n"/>
      <c r="C2857" s="19" t="n"/>
      <c r="D2857" s="19" t="n"/>
      <c r="E2857" s="19" t="n"/>
      <c r="F2857" s="19" t="n"/>
      <c r="G2857" s="19" t="n"/>
    </row>
    <row r="2858" ht="26" customHeight="1">
      <c r="A2858" s="3" t="inlineStr">
        <is>
          <t>T-1A43E6C1 · Программы: ОКБО</t>
        </is>
      </c>
      <c r="B2858" s="4" t="n"/>
      <c r="C2858" s="4" t="n"/>
      <c r="D2858" s="4" t="n"/>
      <c r="E2858" s="4" t="n"/>
      <c r="F2858" s="4" t="n"/>
      <c r="G2858" s="4" t="n"/>
    </row>
    <row r="2859" ht="27" customHeight="1">
      <c r="A2859" s="20" t="inlineStr">
        <is>
          <t>Вариант для: ОКБО</t>
        </is>
      </c>
      <c r="B2859" s="21" t="n"/>
      <c r="C2859" s="21" t="n"/>
      <c r="D2859" s="21" t="n"/>
      <c r="E2859" s="21" t="n"/>
      <c r="F2859" s="21" t="n"/>
      <c r="G2859" s="21" t="n"/>
    </row>
    <row r="2860" ht="48" customHeight="1">
      <c r="A2860" s="22" t="inlineStr">
        <is>
          <t>Что такое Sandbox, какие задачи решает. Статический и динамический анализ в песочницах, их преимущества и недостатки. Варианты использования песочниц в инфраструктуре SOC.</t>
        </is>
      </c>
      <c r="B2860" s="2" t="n"/>
      <c r="C2860" s="2" t="n"/>
      <c r="D2860" s="2" t="n"/>
      <c r="E2860" s="2" t="n"/>
      <c r="F2860" s="2" t="n"/>
      <c r="G2860" s="2" t="n"/>
    </row>
    <row r="2861" ht="51" customHeight="1">
      <c r="A2861" s="3" t="inlineStr">
        <is>
          <t>ОКБО — Обеспечение кибербезопасности организаций
Раздел: Защита конечных устройств · УТП: таблица 2, строка 41</t>
        </is>
      </c>
      <c r="B2861" s="4" t="n"/>
      <c r="C2861" s="4" t="n"/>
      <c r="D2861" s="4" t="n"/>
      <c r="E2861" s="4" t="n"/>
      <c r="F2861" s="4" t="n"/>
      <c r="G2861" s="4" t="n"/>
    </row>
    <row r="2862" ht="30" customHeight="1">
      <c r="A2862" s="3" t="inlineStr">
        <is>
          <t>В программе: Тема 3. Технология изоляции Sandbox (1 час лекции).</t>
        </is>
      </c>
      <c r="B2862" s="4" t="n"/>
      <c r="C2862" s="4" t="n"/>
      <c r="D2862" s="4" t="n"/>
      <c r="E2862" s="4" t="n"/>
      <c r="F2862" s="4" t="n"/>
      <c r="G2862" s="4" t="n"/>
    </row>
    <row r="2863" ht="25" customHeight="1">
      <c r="A2863" s="23" t="inlineStr">
        <is>
          <t>Исходная программа ОКБО ↗</t>
        </is>
      </c>
      <c r="D2863" s="23" t="inlineStr">
        <is>
          <t>Исходный УТП ОКБО ↗</t>
        </is>
      </c>
    </row>
    <row r="2864" ht="27" customHeight="1">
      <c r="A2864" s="24">
        <f>HYPERLINK("#'Выбор тем'!E"&amp;MATCH("T-1A43E6C1",'Выбор тем'!$A:$A,0),"← Вернуться к теме")</f>
        <v/>
      </c>
    </row>
    <row r="2866" ht="38" customHeight="1">
      <c r="A2866" s="18" t="inlineStr">
        <is>
          <t>Типовые плейбуки: фишинг, заражённый хост, подозрительная активность</t>
        </is>
      </c>
      <c r="B2866" s="19" t="n"/>
      <c r="C2866" s="19" t="n"/>
      <c r="D2866" s="19" t="n"/>
      <c r="E2866" s="19" t="n"/>
      <c r="F2866" s="19" t="n"/>
      <c r="G2866" s="19" t="n"/>
    </row>
    <row r="2867" ht="26" customHeight="1">
      <c r="A2867" s="3" t="inlineStr">
        <is>
          <t>T-89E9A90C · Программы: РКИОК</t>
        </is>
      </c>
      <c r="B2867" s="4" t="n"/>
      <c r="C2867" s="4" t="n"/>
      <c r="D2867" s="4" t="n"/>
      <c r="E2867" s="4" t="n"/>
      <c r="F2867" s="4" t="n"/>
      <c r="G2867" s="4" t="n"/>
    </row>
    <row r="2868" ht="27" customHeight="1">
      <c r="A2868" s="20" t="inlineStr">
        <is>
          <t>Вариант для: РКИОК</t>
        </is>
      </c>
      <c r="B2868" s="21" t="n"/>
      <c r="C2868" s="21" t="n"/>
      <c r="D2868" s="21" t="n"/>
      <c r="E2868" s="21" t="n"/>
      <c r="F2868" s="21" t="n"/>
      <c r="G2868" s="21" t="n"/>
    </row>
    <row r="2869" ht="48" customHeight="1">
      <c r="A2869" s="22" t="inlineStr">
        <is>
          <t>Схема обработки фишингового письма: извлечение IoC, анализ, блокировка. Действия при заражении узла: изоляция, сканирование, восстановление. Анализ подозрительного поведения: сбор контекста, проверка репутации.</t>
        </is>
      </c>
      <c r="B2869" s="2" t="n"/>
      <c r="C2869" s="2" t="n"/>
      <c r="D2869" s="2" t="n"/>
      <c r="E2869" s="2" t="n"/>
      <c r="F2869" s="2" t="n"/>
      <c r="G2869" s="2" t="n"/>
    </row>
    <row r="2870" ht="51" customHeight="1">
      <c r="A2870" s="3" t="inlineStr">
        <is>
          <t>РКИОК — Реагирование на киберинциденты и отражение кибератак
Раздел: Интеграция и использование SOAR в ЦКБ · УТП: таблица 2, строка 47</t>
        </is>
      </c>
      <c r="B2870" s="4" t="n"/>
      <c r="C2870" s="4" t="n"/>
      <c r="D2870" s="4" t="n"/>
      <c r="E2870" s="4" t="n"/>
      <c r="F2870" s="4" t="n"/>
      <c r="G2870" s="4" t="n"/>
    </row>
    <row r="2871" ht="30" customHeight="1">
      <c r="A2871" s="3" t="inlineStr">
        <is>
          <t>В программе: Тема 5. Типовые плейбуки: фишинг, заражённый хост, подозрительная активность (1 час лекции).</t>
        </is>
      </c>
      <c r="B2871" s="4" t="n"/>
      <c r="C2871" s="4" t="n"/>
      <c r="D2871" s="4" t="n"/>
      <c r="E2871" s="4" t="n"/>
      <c r="F2871" s="4" t="n"/>
      <c r="G2871" s="4" t="n"/>
    </row>
    <row r="2872" ht="25" customHeight="1">
      <c r="A2872" s="23" t="inlineStr">
        <is>
          <t>Исходная программа РКИОК ↗</t>
        </is>
      </c>
      <c r="D2872" s="23" t="inlineStr">
        <is>
          <t>Исходный УТП РКИОК ↗</t>
        </is>
      </c>
    </row>
    <row r="2873" ht="27" customHeight="1">
      <c r="A2873" s="24">
        <f>HYPERLINK("#'Выбор тем'!E"&amp;MATCH("T-89E9A90C",'Выбор тем'!$A:$A,0),"← Вернуться к теме")</f>
        <v/>
      </c>
    </row>
    <row r="2875" ht="38" customHeight="1">
      <c r="A2875" s="18" t="inlineStr">
        <is>
          <t>Типовые сценарии интеграции</t>
        </is>
      </c>
      <c r="B2875" s="19" t="n"/>
      <c r="C2875" s="19" t="n"/>
      <c r="D2875" s="19" t="n"/>
      <c r="E2875" s="19" t="n"/>
      <c r="F2875" s="19" t="n"/>
      <c r="G2875" s="19" t="n"/>
    </row>
    <row r="2876" ht="26" customHeight="1">
      <c r="A2876" s="3" t="inlineStr">
        <is>
          <t>T-9ED88B73 · Программы: РКИОК</t>
        </is>
      </c>
      <c r="B2876" s="4" t="n"/>
      <c r="C2876" s="4" t="n"/>
      <c r="D2876" s="4" t="n"/>
      <c r="E2876" s="4" t="n"/>
      <c r="F2876" s="4" t="n"/>
      <c r="G2876" s="4" t="n"/>
    </row>
    <row r="2877" ht="27" customHeight="1">
      <c r="A2877" s="20" t="inlineStr">
        <is>
          <t>Вариант для: РКИОК</t>
        </is>
      </c>
      <c r="B2877" s="21" t="n"/>
      <c r="C2877" s="21" t="n"/>
      <c r="D2877" s="21" t="n"/>
      <c r="E2877" s="21" t="n"/>
      <c r="F2877" s="21" t="n"/>
      <c r="G2877" s="21" t="n"/>
    </row>
    <row r="2878" ht="48" customHeight="1">
      <c r="A2878" s="22" t="inlineStr">
        <is>
          <t>Автоматическая блокировка вредоносных IP-адресов и доменов. Создание и эскалация инцидентов в сервис-деск. Сбор дополнительных сведений об объекте из внешних систем.</t>
        </is>
      </c>
      <c r="B2878" s="2" t="n"/>
      <c r="C2878" s="2" t="n"/>
      <c r="D2878" s="2" t="n"/>
      <c r="E2878" s="2" t="n"/>
      <c r="F2878" s="2" t="n"/>
      <c r="G2878" s="2" t="n"/>
    </row>
    <row r="2879" ht="51" customHeight="1">
      <c r="A2879" s="3" t="inlineStr">
        <is>
          <t>РКИОК — Реагирование на киберинциденты и отражение кибератак
Раздел: Интеграция и использование SOAR в ЦКБ · УТП: таблица 2, строка 45</t>
        </is>
      </c>
      <c r="B2879" s="4" t="n"/>
      <c r="C2879" s="4" t="n"/>
      <c r="D2879" s="4" t="n"/>
      <c r="E2879" s="4" t="n"/>
      <c r="F2879" s="4" t="n"/>
      <c r="G2879" s="4" t="n"/>
    </row>
    <row r="2880" ht="30" customHeight="1">
      <c r="A2880" s="3" t="inlineStr">
        <is>
          <t>В программе: Тема 3. Типовые сценарии интеграции (1 час лекции).</t>
        </is>
      </c>
      <c r="B2880" s="4" t="n"/>
      <c r="C2880" s="4" t="n"/>
      <c r="D2880" s="4" t="n"/>
      <c r="E2880" s="4" t="n"/>
      <c r="F2880" s="4" t="n"/>
      <c r="G2880" s="4" t="n"/>
    </row>
    <row r="2881" ht="25" customHeight="1">
      <c r="A2881" s="23" t="inlineStr">
        <is>
          <t>Исходная программа РКИОК ↗</t>
        </is>
      </c>
      <c r="D2881" s="23" t="inlineStr">
        <is>
          <t>Исходный УТП РКИОК ↗</t>
        </is>
      </c>
    </row>
    <row r="2882" ht="27" customHeight="1">
      <c r="A2882" s="24">
        <f>HYPERLINK("#'Выбор тем'!E"&amp;MATCH("T-9ED88B73",'Выбор тем'!$A:$A,0),"← Вернуться к теме")</f>
        <v/>
      </c>
    </row>
    <row r="2884" ht="38" customHeight="1">
      <c r="A2884" s="18" t="inlineStr">
        <is>
          <t>Типы TI: стратегическая, тактическая, оперативная, техническая</t>
        </is>
      </c>
      <c r="B2884" s="19" t="n"/>
      <c r="C2884" s="19" t="n"/>
      <c r="D2884" s="19" t="n"/>
      <c r="E2884" s="19" t="n"/>
      <c r="F2884" s="19" t="n"/>
      <c r="G2884" s="19" t="n"/>
    </row>
    <row r="2885" ht="26" customHeight="1">
      <c r="A2885" s="3" t="inlineStr">
        <is>
          <t>T-A838C311 · Программы: РКИОК</t>
        </is>
      </c>
      <c r="B2885" s="4" t="n"/>
      <c r="C2885" s="4" t="n"/>
      <c r="D2885" s="4" t="n"/>
      <c r="E2885" s="4" t="n"/>
      <c r="F2885" s="4" t="n"/>
      <c r="G2885" s="4" t="n"/>
    </row>
    <row r="2886" ht="27" customHeight="1">
      <c r="A2886" s="20" t="inlineStr">
        <is>
          <t>Вариант для: РКИОК</t>
        </is>
      </c>
      <c r="B2886" s="21" t="n"/>
      <c r="C2886" s="21" t="n"/>
      <c r="D2886" s="21" t="n"/>
      <c r="E2886" s="21" t="n"/>
      <c r="F2886" s="21" t="n"/>
      <c r="G2886" s="21" t="n"/>
    </row>
    <row r="2887" ht="48" customHeight="1">
      <c r="A2887" s="22" t="inlineStr">
        <is>
          <t>Стратегическая TI: анализ долгосрочных тенденций и мотиваций злоумышленников. Тактическая TI: описание TTPs и рекомендаций по защите. Оперативная и техническая TI: сведения о конкретных кампаниях, IoC.</t>
        </is>
      </c>
      <c r="B2887" s="2" t="n"/>
      <c r="C2887" s="2" t="n"/>
      <c r="D2887" s="2" t="n"/>
      <c r="E2887" s="2" t="n"/>
      <c r="F2887" s="2" t="n"/>
      <c r="G2887" s="2" t="n"/>
    </row>
    <row r="2888" ht="51" customHeight="1">
      <c r="A2888" s="3" t="inlineStr">
        <is>
          <t>РКИОК — Реагирование на киберинциденты и отражение кибератак
Раздел: Введение в SOAR и TI · УТП: таблица 2, строка 39</t>
        </is>
      </c>
      <c r="B2888" s="4" t="n"/>
      <c r="C2888" s="4" t="n"/>
      <c r="D2888" s="4" t="n"/>
      <c r="E2888" s="4" t="n"/>
      <c r="F2888" s="4" t="n"/>
      <c r="G2888" s="4" t="n"/>
    </row>
    <row r="2889" ht="30" customHeight="1">
      <c r="A2889" s="3" t="inlineStr">
        <is>
          <t>В программе: Тема 6. Типы TI: стратегическая, тактическая, оперативная, техническая (1 час лекции).</t>
        </is>
      </c>
      <c r="B2889" s="4" t="n"/>
      <c r="C2889" s="4" t="n"/>
      <c r="D2889" s="4" t="n"/>
      <c r="E2889" s="4" t="n"/>
      <c r="F2889" s="4" t="n"/>
      <c r="G2889" s="4" t="n"/>
    </row>
    <row r="2890" ht="25" customHeight="1">
      <c r="A2890" s="23" t="inlineStr">
        <is>
          <t>Исходная программа РКИОК ↗</t>
        </is>
      </c>
      <c r="D2890" s="23" t="inlineStr">
        <is>
          <t>Исходный УТП РКИОК ↗</t>
        </is>
      </c>
    </row>
    <row r="2891" ht="27" customHeight="1">
      <c r="A2891" s="24">
        <f>HYPERLINK("#'Выбор тем'!E"&amp;MATCH("T-A838C311",'Выбор тем'!$A:$A,0),"← Вернуться к теме")</f>
        <v/>
      </c>
    </row>
    <row r="2893" ht="48" customHeight="1">
      <c r="A2893" s="18" t="inlineStr">
        <is>
          <t>Типы источников событий информационной безопасности. Теоретические аспекты подключения источников событий ИБ в SIEM (события Windows/Linux, СУБД, телекоммуникационного оборудования, антивируса, NGFW с функцией ips)</t>
        </is>
      </c>
      <c r="B2893" s="19" t="n"/>
      <c r="C2893" s="19" t="n"/>
      <c r="D2893" s="19" t="n"/>
      <c r="E2893" s="19" t="n"/>
      <c r="F2893" s="19" t="n"/>
      <c r="G2893" s="19" t="n"/>
    </row>
    <row r="2894" ht="26" customHeight="1">
      <c r="A2894" s="3" t="inlineStr">
        <is>
          <t>T-01727FC2 · Программы: ОКБО</t>
        </is>
      </c>
      <c r="B2894" s="4" t="n"/>
      <c r="C2894" s="4" t="n"/>
      <c r="D2894" s="4" t="n"/>
      <c r="E2894" s="4" t="n"/>
      <c r="F2894" s="4" t="n"/>
      <c r="G2894" s="4" t="n"/>
    </row>
    <row r="2895" ht="27" customHeight="1">
      <c r="A2895" s="20" t="inlineStr">
        <is>
          <t>Вариант для: ОКБО</t>
        </is>
      </c>
      <c r="B2895" s="21" t="n"/>
      <c r="C2895" s="21" t="n"/>
      <c r="D2895" s="21" t="n"/>
      <c r="E2895" s="21" t="n"/>
      <c r="F2895" s="21" t="n"/>
      <c r="G2895" s="21" t="n"/>
    </row>
    <row r="2896" ht="31" customHeight="1">
      <c r="A2896" s="25" t="inlineStr">
        <is>
          <t>Названия в УТП и обновлённой программе различаются. Приведён фактический текст соответствующего раздела программы.</t>
        </is>
      </c>
      <c r="B2896" s="26" t="n"/>
      <c r="C2896" s="26" t="n"/>
      <c r="D2896" s="26" t="n"/>
      <c r="E2896" s="26" t="n"/>
      <c r="F2896" s="26" t="n"/>
      <c r="G2896" s="26" t="n"/>
    </row>
    <row r="2897" ht="64" customHeight="1">
      <c r="A2897" s="22" t="inlineStr">
        <is>
          <t>Источники событий информационной безопасности (сетевое оборудование, ОС, СУБД, СЗИ). Подключение источника с агентом, без агента. Рассмотрение примеров конфигураций сетевого оборудования, средств защиты информации для отправки событий в SIEM-систему. Изучение примеров изменений конфигурационных файлов для подключения СУБД к SIEM-системам.</t>
        </is>
      </c>
      <c r="B2897" s="2" t="n"/>
      <c r="C2897" s="2" t="n"/>
      <c r="D2897" s="2" t="n"/>
      <c r="E2897" s="2" t="n"/>
      <c r="F2897" s="2" t="n"/>
      <c r="G2897" s="2" t="n"/>
    </row>
    <row r="2898" ht="51" customHeight="1">
      <c r="A2898" s="3" t="inlineStr">
        <is>
          <t>ОКБО — Обеспечение кибербезопасности организаций
Раздел: Системы управления информационной безопасностью и событиями безопасности (SIEM) · УТП: таблица 2, строка 30</t>
        </is>
      </c>
      <c r="B2898" s="4" t="n"/>
      <c r="C2898" s="4" t="n"/>
      <c r="D2898" s="4" t="n"/>
      <c r="E2898" s="4" t="n"/>
      <c r="F2898" s="4" t="n"/>
      <c r="G2898" s="4" t="n"/>
    </row>
    <row r="2899" ht="46" customHeight="1">
      <c r="A2899" s="3" t="inlineStr">
        <is>
          <t>В программе: Тема 3. Типы источников событий информационной безопасности. Теоретические аспекты подключения источников событий ИБ к SIEM-системе (события Windows/Linux, СУБД, телекоммуникационного оборудования, антивируса, NGFW с функцией ips) (1 час лекции).</t>
        </is>
      </c>
      <c r="B2899" s="4" t="n"/>
      <c r="C2899" s="4" t="n"/>
      <c r="D2899" s="4" t="n"/>
      <c r="E2899" s="4" t="n"/>
      <c r="F2899" s="4" t="n"/>
      <c r="G2899" s="4" t="n"/>
    </row>
    <row r="2900" ht="25" customHeight="1">
      <c r="A2900" s="23" t="inlineStr">
        <is>
          <t>Исходная программа ОКБО ↗</t>
        </is>
      </c>
      <c r="D2900" s="23" t="inlineStr">
        <is>
          <t>Исходный УТП ОКБО ↗</t>
        </is>
      </c>
    </row>
    <row r="2901" ht="27" customHeight="1">
      <c r="A2901" s="24">
        <f>HYPERLINK("#'Выбор тем'!E"&amp;MATCH("T-01727FC2",'Выбор тем'!$A:$A,0),"← Вернуться к теме")</f>
        <v/>
      </c>
    </row>
    <row r="2903" ht="38" customHeight="1">
      <c r="A2903" s="18" t="inlineStr">
        <is>
          <t>Топология сети при использовании межсетевых экранов</t>
        </is>
      </c>
      <c r="B2903" s="19" t="n"/>
      <c r="C2903" s="19" t="n"/>
      <c r="D2903" s="19" t="n"/>
      <c r="E2903" s="19" t="n"/>
      <c r="F2903" s="19" t="n"/>
      <c r="G2903" s="19" t="n"/>
    </row>
    <row r="2904" ht="26" customHeight="1">
      <c r="A2904" s="3" t="inlineStr">
        <is>
          <t>T-0DC470E6 · Программы: ТК</t>
        </is>
      </c>
      <c r="B2904" s="4" t="n"/>
      <c r="C2904" s="4" t="n"/>
      <c r="D2904" s="4" t="n"/>
      <c r="E2904" s="4" t="n"/>
      <c r="F2904" s="4" t="n"/>
      <c r="G2904" s="4" t="n"/>
    </row>
    <row r="2905" ht="27" customHeight="1">
      <c r="A2905" s="20" t="inlineStr">
        <is>
          <t>Вариант для: ТК</t>
        </is>
      </c>
      <c r="B2905" s="21" t="n"/>
      <c r="C2905" s="21" t="n"/>
      <c r="D2905" s="21" t="n"/>
      <c r="E2905" s="21" t="n"/>
      <c r="F2905" s="21" t="n"/>
      <c r="G2905" s="21" t="n"/>
    </row>
    <row r="2906" ht="48" customHeight="1">
      <c r="A2906" s="22" t="inlineStr">
        <is>
          <t>Способы внедрения межсетевых экранов в корпоративную сеть. Использование демилитаризованных зон для повышения безопасности локальной сети. Правила фильтрации для межсетевых экранов при организации DMZ. Функции proxy-сервера.</t>
        </is>
      </c>
      <c r="B2906" s="2" t="n"/>
      <c r="C2906" s="2" t="n"/>
      <c r="D2906" s="2" t="n"/>
      <c r="E2906" s="2" t="n"/>
      <c r="F2906" s="2" t="n"/>
      <c r="G2906" s="2" t="n"/>
    </row>
    <row r="2907" ht="51" customHeight="1">
      <c r="A2907"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22</t>
        </is>
      </c>
      <c r="B2907" s="4" t="n"/>
      <c r="C2907" s="4" t="n"/>
      <c r="D2907" s="4" t="n"/>
      <c r="E2907" s="4" t="n"/>
      <c r="F2907" s="4" t="n"/>
      <c r="G2907" s="4" t="n"/>
    </row>
    <row r="2908" ht="30" customHeight="1">
      <c r="A2908" s="3" t="inlineStr">
        <is>
          <t>В программе: Тема 10. Топология сети при использовании межсетевых экранов (2 часа лекции, 2 часа лабораторные занятия).</t>
        </is>
      </c>
      <c r="B2908" s="4" t="n"/>
      <c r="C2908" s="4" t="n"/>
      <c r="D2908" s="4" t="n"/>
      <c r="E2908" s="4" t="n"/>
      <c r="F2908" s="4" t="n"/>
      <c r="G2908" s="4" t="n"/>
    </row>
    <row r="2909" ht="25" customHeight="1">
      <c r="A2909" s="23" t="inlineStr">
        <is>
          <t>Исходная программа ТК ↗</t>
        </is>
      </c>
      <c r="D2909" s="23" t="inlineStr">
        <is>
          <t>Исходный УТП ТК ↗</t>
        </is>
      </c>
    </row>
    <row r="2910" ht="27" customHeight="1">
      <c r="A2910" s="24">
        <f>HYPERLINK("#'Выбор тем'!E"&amp;MATCH("T-0DC470E6",'Выбор тем'!$A:$A,0),"← Вернуться к теме")</f>
        <v/>
      </c>
    </row>
    <row r="2912" ht="38" customHeight="1">
      <c r="A2912" s="18" t="inlineStr">
        <is>
          <t>Требования безопасности к средствам криптографической защиты информации</t>
        </is>
      </c>
      <c r="B2912" s="19" t="n"/>
      <c r="C2912" s="19" t="n"/>
      <c r="D2912" s="19" t="n"/>
      <c r="E2912" s="19" t="n"/>
      <c r="F2912" s="19" t="n"/>
      <c r="G2912" s="19" t="n"/>
    </row>
    <row r="2913" ht="26" customHeight="1">
      <c r="A2913" s="3" t="inlineStr">
        <is>
          <t>T-42D3BA79 · Программы: КЗИ</t>
        </is>
      </c>
      <c r="B2913" s="4" t="n"/>
      <c r="C2913" s="4" t="n"/>
      <c r="D2913" s="4" t="n"/>
      <c r="E2913" s="4" t="n"/>
      <c r="F2913" s="4" t="n"/>
      <c r="G2913" s="4" t="n"/>
    </row>
    <row r="2914" ht="27" customHeight="1">
      <c r="A2914" s="20" t="inlineStr">
        <is>
          <t>Вариант для: КЗИ</t>
        </is>
      </c>
      <c r="B2914" s="21" t="n"/>
      <c r="C2914" s="21" t="n"/>
      <c r="D2914" s="21" t="n"/>
      <c r="E2914" s="21" t="n"/>
      <c r="F2914" s="21" t="n"/>
      <c r="G2914" s="21" t="n"/>
    </row>
    <row r="2915" ht="48" customHeight="1">
      <c r="A2915" s="22" t="inlineStr">
        <is>
          <t>Концепция требований безопасности, предъявляемых к средствам криптографической защиты. Уровни безопасности средств криптографической защиты. Модель угроз нарушителя.</t>
        </is>
      </c>
      <c r="B2915" s="2" t="n"/>
      <c r="C2915" s="2" t="n"/>
      <c r="D2915" s="2" t="n"/>
      <c r="E2915" s="2" t="n"/>
      <c r="F2915" s="2" t="n"/>
      <c r="G2915" s="2" t="n"/>
    </row>
    <row r="2916" ht="32" customHeight="1">
      <c r="A2916" s="22" t="inlineStr">
        <is>
          <t>Требования безопасности к средствам криптографической защиты в соответствии СТБ 34.101.27. Функциональные и гарантийные требования безопасности.</t>
        </is>
      </c>
      <c r="B2916" s="2" t="n"/>
      <c r="C2916" s="2" t="n"/>
      <c r="D2916" s="2" t="n"/>
      <c r="E2916" s="2" t="n"/>
      <c r="F2916" s="2" t="n"/>
      <c r="G2916" s="2" t="n"/>
    </row>
    <row r="2917" ht="51" customHeight="1">
      <c r="A2917" s="3" t="inlineStr">
        <is>
          <t>КЗИ — Криптографическая защита информации
Раздел: Средства криптографической защиты информации · УТП: таблица 2, строка 16</t>
        </is>
      </c>
      <c r="B2917" s="4" t="n"/>
      <c r="C2917" s="4" t="n"/>
      <c r="D2917" s="4" t="n"/>
      <c r="E2917" s="4" t="n"/>
      <c r="F2917" s="4" t="n"/>
      <c r="G2917" s="4" t="n"/>
    </row>
    <row r="2918" ht="30" customHeight="1">
      <c r="A2918" s="3" t="inlineStr">
        <is>
          <t>В программе: Тема 4. Требования безопасности к средствам криптографической защиты информации (4 часа лекции).</t>
        </is>
      </c>
      <c r="B2918" s="4" t="n"/>
      <c r="C2918" s="4" t="n"/>
      <c r="D2918" s="4" t="n"/>
      <c r="E2918" s="4" t="n"/>
      <c r="F2918" s="4" t="n"/>
      <c r="G2918" s="4" t="n"/>
    </row>
    <row r="2919" ht="25" customHeight="1">
      <c r="A2919" s="23" t="inlineStr">
        <is>
          <t>Исходная программа КЗИ ↗</t>
        </is>
      </c>
      <c r="D2919" s="23" t="inlineStr">
        <is>
          <t>Исходный УТП КЗИ ↗</t>
        </is>
      </c>
    </row>
    <row r="2920" ht="27" customHeight="1">
      <c r="A2920" s="24">
        <f>HYPERLINK("#'Выбор тем'!E"&amp;MATCH("T-42D3BA79",'Выбор тем'!$A:$A,0),"← Вернуться к теме")</f>
        <v/>
      </c>
    </row>
    <row r="2922" ht="38" customHeight="1">
      <c r="A2922" s="18" t="inlineStr">
        <is>
          <t>Требования к системам защиты информации</t>
        </is>
      </c>
      <c r="B2922" s="19" t="n"/>
      <c r="C2922" s="19" t="n"/>
      <c r="D2922" s="19" t="n"/>
      <c r="E2922" s="19" t="n"/>
      <c r="F2922" s="19" t="n"/>
      <c r="G2922" s="19" t="n"/>
    </row>
    <row r="2923" ht="26" customHeight="1">
      <c r="A2923" s="3" t="inlineStr">
        <is>
          <t>T-AED659CE · Программы: АКБ, ЗИКС</t>
        </is>
      </c>
      <c r="B2923" s="4" t="n"/>
      <c r="C2923" s="4" t="n"/>
      <c r="D2923" s="4" t="n"/>
      <c r="E2923" s="4" t="n"/>
      <c r="F2923" s="4" t="n"/>
      <c r="G2923" s="4" t="n"/>
    </row>
    <row r="2924" ht="27" customHeight="1">
      <c r="A2924" s="20" t="inlineStr">
        <is>
          <t>Вариант для: АКБ</t>
        </is>
      </c>
      <c r="B2924" s="21" t="n"/>
      <c r="C2924" s="21" t="n"/>
      <c r="D2924" s="21" t="n"/>
      <c r="E2924" s="21" t="n"/>
      <c r="F2924" s="21" t="n"/>
      <c r="G2924" s="21" t="n"/>
    </row>
    <row r="2925" ht="32" customHeight="1">
      <c r="A2925" s="22" t="inlineStr">
        <is>
          <t>Требования по обеспечению защиты информации.</t>
        </is>
      </c>
      <c r="B2925" s="2" t="n"/>
      <c r="C2925" s="2" t="n"/>
      <c r="D2925" s="2" t="n"/>
      <c r="E2925" s="2" t="n"/>
      <c r="F2925" s="2" t="n"/>
      <c r="G2925" s="2" t="n"/>
    </row>
    <row r="2926" ht="96" customHeight="1">
      <c r="A2926"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26" s="2" t="n"/>
      <c r="C2926" s="2" t="n"/>
      <c r="D2926" s="2" t="n"/>
      <c r="E2926" s="2" t="n"/>
      <c r="F2926" s="2" t="n"/>
      <c r="G2926" s="2" t="n"/>
    </row>
    <row r="2927" ht="32" customHeight="1">
      <c r="A2927" s="22" t="inlineStr">
        <is>
          <t>Требования по обеспечению идентификации и аутентификации.</t>
        </is>
      </c>
      <c r="B2927" s="2" t="n"/>
      <c r="C2927" s="2" t="n"/>
      <c r="D2927" s="2" t="n"/>
      <c r="E2927" s="2" t="n"/>
      <c r="F2927" s="2" t="n"/>
      <c r="G2927" s="2" t="n"/>
    </row>
    <row r="2928" ht="112" customHeight="1">
      <c r="A2928"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28" s="2" t="n"/>
      <c r="C2928" s="2" t="n"/>
      <c r="D2928" s="2" t="n"/>
      <c r="E2928" s="2" t="n"/>
      <c r="F2928" s="2" t="n"/>
      <c r="G2928" s="2" t="n"/>
    </row>
    <row r="2929" ht="32" customHeight="1">
      <c r="A2929" s="22" t="inlineStr">
        <is>
          <t>установленного времени бездействия (неактивности) пользователя информационной системы или по его запросу.</t>
        </is>
      </c>
      <c r="B2929" s="2" t="n"/>
      <c r="C2929" s="2" t="n"/>
      <c r="D2929" s="2" t="n"/>
      <c r="E2929" s="2" t="n"/>
      <c r="F2929" s="2" t="n"/>
      <c r="G2929" s="2" t="n"/>
    </row>
    <row r="2930" ht="32" customHeight="1">
      <c r="A2930" s="22" t="inlineStr">
        <is>
          <t>Требования по защите системы защиты информации информационной системы.</t>
        </is>
      </c>
      <c r="B2930" s="2" t="n"/>
      <c r="C2930" s="2" t="n"/>
      <c r="D2930" s="2" t="n"/>
      <c r="E2930" s="2" t="n"/>
      <c r="F2930" s="2" t="n"/>
      <c r="G2930" s="2" t="n"/>
    </row>
    <row r="2931" ht="96" customHeight="1">
      <c r="A2931"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31" s="2" t="n"/>
      <c r="C2931" s="2" t="n"/>
      <c r="D2931" s="2" t="n"/>
      <c r="E2931" s="2" t="n"/>
      <c r="F2931" s="2" t="n"/>
      <c r="G2931" s="2" t="n"/>
    </row>
    <row r="2932" ht="32" customHeight="1">
      <c r="A2932" s="22" t="inlineStr">
        <is>
          <t>Дополнительные требования по обеспечению защиты информации в виртуальной инфраструктуре.</t>
        </is>
      </c>
      <c r="B2932" s="2" t="n"/>
      <c r="C2932" s="2" t="n"/>
      <c r="D2932" s="2" t="n"/>
      <c r="E2932" s="2" t="n"/>
      <c r="F2932" s="2" t="n"/>
      <c r="G2932" s="2" t="n"/>
    </row>
    <row r="2933" ht="96" customHeight="1">
      <c r="A2933"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33" s="2" t="n"/>
      <c r="C2933" s="2" t="n"/>
      <c r="D2933" s="2" t="n"/>
      <c r="E2933" s="2" t="n"/>
      <c r="F2933" s="2" t="n"/>
      <c r="G2933" s="2" t="n"/>
    </row>
    <row r="2934" ht="32" customHeight="1">
      <c r="A2934" s="22" t="inlineStr">
        <is>
          <t>Иные требования.</t>
        </is>
      </c>
      <c r="B2934" s="2" t="n"/>
      <c r="C2934" s="2" t="n"/>
      <c r="D2934" s="2" t="n"/>
      <c r="E2934" s="2" t="n"/>
      <c r="F2934" s="2" t="n"/>
      <c r="G2934" s="2" t="n"/>
    </row>
    <row r="2935" ht="112" customHeight="1">
      <c r="A2935" s="22" t="inlineStr">
        <is>
          <t>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 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t>
        </is>
      </c>
      <c r="B2935" s="2" t="n"/>
      <c r="C2935" s="2" t="n"/>
      <c r="D2935" s="2" t="n"/>
      <c r="E2935" s="2" t="n"/>
      <c r="F2935" s="2" t="n"/>
      <c r="G2935" s="2" t="n"/>
    </row>
    <row r="2936" ht="64" customHeight="1">
      <c r="A2936" s="22" t="inlineStr">
        <is>
          <t>управления активами информационной системы, средствами защиты информации от сети передачи данных.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36" s="2" t="n"/>
      <c r="C2936" s="2" t="n"/>
      <c r="D2936" s="2" t="n"/>
      <c r="E2936" s="2" t="n"/>
      <c r="F2936" s="2" t="n"/>
      <c r="G2936" s="2" t="n"/>
    </row>
    <row r="2937" ht="32" customHeight="1">
      <c r="A2937" s="22" t="inlineStr">
        <is>
          <t>Вопросы круглого стола:</t>
        </is>
      </c>
      <c r="B2937" s="2" t="n"/>
      <c r="C2937" s="2" t="n"/>
      <c r="D2937" s="2" t="n"/>
      <c r="E2937" s="2" t="n"/>
      <c r="F2937" s="2" t="n"/>
      <c r="G2937" s="2" t="n"/>
    </row>
    <row r="2938" ht="32" customHeight="1">
      <c r="A2938" s="22" t="inlineStr">
        <is>
          <t>Определение перечня разрешенного программного обеспечения и регламентация порядка его установки и использования.</t>
        </is>
      </c>
      <c r="B2938" s="2" t="n"/>
      <c r="C2938" s="2" t="n"/>
      <c r="D2938" s="2" t="n"/>
      <c r="E2938" s="2" t="n"/>
      <c r="F2938" s="2" t="n"/>
      <c r="G2938" s="2" t="n"/>
    </row>
    <row r="2939" ht="32" customHeight="1">
      <c r="A2939" s="22" t="inlineStr">
        <is>
          <t>Определение состава и содержания информации, подлежащей резервному копированию.</t>
        </is>
      </c>
      <c r="B2939" s="2" t="n"/>
      <c r="C2939" s="2" t="n"/>
      <c r="D2939" s="2" t="n"/>
      <c r="E2939" s="2" t="n"/>
      <c r="F2939" s="2" t="n"/>
      <c r="G2939" s="2" t="n"/>
    </row>
    <row r="2940" ht="32" customHeight="1">
      <c r="A2940" s="22" t="inlineStr">
        <is>
          <t>Ежегодное проведение оценки эффективности защищенности информационной системы (тестирование на проникновение).</t>
        </is>
      </c>
      <c r="B2940" s="2" t="n"/>
      <c r="C2940" s="2" t="n"/>
      <c r="D2940" s="2" t="n"/>
      <c r="E2940" s="2" t="n"/>
      <c r="F2940" s="2" t="n"/>
      <c r="G2940" s="2" t="n"/>
    </row>
    <row r="2941" ht="51" customHeight="1">
      <c r="A2941" s="3" t="inlineStr">
        <is>
          <t>АКБ — Администратор кибербезопасности
Раздел: Практические аспекты обеспечения кибербезопасности · УТП: таблица 2, строка 12</t>
        </is>
      </c>
      <c r="B2941" s="4" t="n"/>
      <c r="C2941" s="4" t="n"/>
      <c r="D2941" s="4" t="n"/>
      <c r="E2941" s="4" t="n"/>
      <c r="F2941" s="4" t="n"/>
      <c r="G2941" s="4" t="n"/>
    </row>
    <row r="2942" ht="30" customHeight="1">
      <c r="A2942" s="3" t="inlineStr">
        <is>
          <t>В программе: Тема 1. Требования к системам защиты информации (9 часов лекции, 3 часа круглый стол).</t>
        </is>
      </c>
      <c r="B2942" s="4" t="n"/>
      <c r="C2942" s="4" t="n"/>
      <c r="D2942" s="4" t="n"/>
      <c r="E2942" s="4" t="n"/>
      <c r="F2942" s="4" t="n"/>
      <c r="G2942" s="4" t="n"/>
    </row>
    <row r="2943" ht="25" customHeight="1">
      <c r="A2943" s="23" t="inlineStr">
        <is>
          <t>Исходная программа АКБ ↗</t>
        </is>
      </c>
      <c r="D2943" s="23" t="inlineStr">
        <is>
          <t>Исходный УТП АКБ ↗</t>
        </is>
      </c>
    </row>
    <row r="2944" ht="27" customHeight="1">
      <c r="A2944" s="20" t="inlineStr">
        <is>
          <t>Вариант для: ЗИКС</t>
        </is>
      </c>
      <c r="B2944" s="21" t="n"/>
      <c r="C2944" s="21" t="n"/>
      <c r="D2944" s="21" t="n"/>
      <c r="E2944" s="21" t="n"/>
      <c r="F2944" s="21" t="n"/>
      <c r="G2944" s="21" t="n"/>
    </row>
    <row r="2945" ht="32" customHeight="1">
      <c r="A2945" s="22" t="inlineStr">
        <is>
          <t>Требования по обеспечению защиты информации.</t>
        </is>
      </c>
      <c r="B2945" s="2" t="n"/>
      <c r="C2945" s="2" t="n"/>
      <c r="D2945" s="2" t="n"/>
      <c r="E2945" s="2" t="n"/>
      <c r="F2945" s="2" t="n"/>
      <c r="G2945" s="2" t="n"/>
    </row>
    <row r="2946" ht="32" customHeight="1">
      <c r="A2946" s="22" t="inlineStr">
        <is>
          <t>Регламентация порядка использования в информационной системе съемных носителей информации, мобильных технических средств</t>
        </is>
      </c>
      <c r="B2946" s="2" t="n"/>
      <c r="C2946" s="2" t="n"/>
      <c r="D2946" s="2" t="n"/>
      <c r="E2946" s="2" t="n"/>
      <c r="F2946" s="2" t="n"/>
      <c r="G2946" s="2" t="n"/>
    </row>
    <row r="2947" ht="32" customHeight="1">
      <c r="A2947" s="22" t="inlineStr">
        <is>
          <t>и контроля за таким использованием. Обеспечение контроля</t>
        </is>
      </c>
      <c r="B2947" s="2" t="n"/>
      <c r="C2947" s="2" t="n"/>
      <c r="D2947" s="2" t="n"/>
      <c r="E2947" s="2" t="n"/>
      <c r="F2947" s="2" t="n"/>
      <c r="G2947" s="2" t="n"/>
    </row>
    <row r="2948" ht="64" customHeight="1">
      <c r="A2948" s="22" t="inlineStr">
        <is>
          <t>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48" s="2" t="n"/>
      <c r="C2948" s="2" t="n"/>
      <c r="D2948" s="2" t="n"/>
      <c r="E2948" s="2" t="n"/>
      <c r="F2948" s="2" t="n"/>
      <c r="G2948" s="2" t="n"/>
    </row>
    <row r="2949" ht="32" customHeight="1">
      <c r="A2949" s="22" t="inlineStr">
        <is>
          <t>Требования по обеспечению идентификации и аутентификации.</t>
        </is>
      </c>
      <c r="B2949" s="2" t="n"/>
      <c r="C2949" s="2" t="n"/>
      <c r="D2949" s="2" t="n"/>
      <c r="E2949" s="2" t="n"/>
      <c r="F2949" s="2" t="n"/>
      <c r="G2949" s="2" t="n"/>
    </row>
    <row r="2950" ht="112" customHeight="1">
      <c r="A2950"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50" s="2" t="n"/>
      <c r="C2950" s="2" t="n"/>
      <c r="D2950" s="2" t="n"/>
      <c r="E2950" s="2" t="n"/>
      <c r="F2950" s="2" t="n"/>
      <c r="G2950" s="2" t="n"/>
    </row>
    <row r="2951" ht="32" customHeight="1">
      <c r="A2951" s="22" t="inlineStr">
        <is>
          <t>установленного времени бездействия (неактивности) пользователя информационной системы или по его запросу.</t>
        </is>
      </c>
      <c r="B2951" s="2" t="n"/>
      <c r="C2951" s="2" t="n"/>
      <c r="D2951" s="2" t="n"/>
      <c r="E2951" s="2" t="n"/>
      <c r="F2951" s="2" t="n"/>
      <c r="G2951" s="2" t="n"/>
    </row>
    <row r="2952" ht="32" customHeight="1">
      <c r="A2952" s="22" t="inlineStr">
        <is>
          <t>Требования по защите системы защиты информации информационной системы.</t>
        </is>
      </c>
      <c r="B2952" s="2" t="n"/>
      <c r="C2952" s="2" t="n"/>
      <c r="D2952" s="2" t="n"/>
      <c r="E2952" s="2" t="n"/>
      <c r="F2952" s="2" t="n"/>
      <c r="G2952" s="2" t="n"/>
    </row>
    <row r="2953" ht="96" customHeight="1">
      <c r="A2953"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53" s="2" t="n"/>
      <c r="C2953" s="2" t="n"/>
      <c r="D2953" s="2" t="n"/>
      <c r="E2953" s="2" t="n"/>
      <c r="F2953" s="2" t="n"/>
      <c r="G2953" s="2" t="n"/>
    </row>
    <row r="2954" ht="32" customHeight="1">
      <c r="A2954" s="22" t="inlineStr">
        <is>
          <t>Дополнительные требования по обеспечению защиты информации в виртуальной инфраструктуре.</t>
        </is>
      </c>
      <c r="B2954" s="2" t="n"/>
      <c r="C2954" s="2" t="n"/>
      <c r="D2954" s="2" t="n"/>
      <c r="E2954" s="2" t="n"/>
      <c r="F2954" s="2" t="n"/>
      <c r="G2954" s="2" t="n"/>
    </row>
    <row r="2955" ht="96" customHeight="1">
      <c r="A2955"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55" s="2" t="n"/>
      <c r="C2955" s="2" t="n"/>
      <c r="D2955" s="2" t="n"/>
      <c r="E2955" s="2" t="n"/>
      <c r="F2955" s="2" t="n"/>
      <c r="G2955" s="2" t="n"/>
    </row>
    <row r="2956" ht="32" customHeight="1">
      <c r="A2956" s="22" t="inlineStr">
        <is>
          <t>Иные требования.</t>
        </is>
      </c>
      <c r="B2956" s="2" t="n"/>
      <c r="C2956" s="2" t="n"/>
      <c r="D2956" s="2" t="n"/>
      <c r="E2956" s="2" t="n"/>
      <c r="F2956" s="2" t="n"/>
      <c r="G2956" s="2" t="n"/>
    </row>
    <row r="2957" ht="112" customHeight="1">
      <c r="A2957"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2957" s="2" t="n"/>
      <c r="C2957" s="2" t="n"/>
      <c r="D2957" s="2" t="n"/>
      <c r="E2957" s="2" t="n"/>
      <c r="F2957" s="2" t="n"/>
      <c r="G2957" s="2" t="n"/>
    </row>
    <row r="2958" ht="96" customHeight="1">
      <c r="A2958"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58" s="2" t="n"/>
      <c r="C2958" s="2" t="n"/>
      <c r="D2958" s="2" t="n"/>
      <c r="E2958" s="2" t="n"/>
      <c r="F2958" s="2" t="n"/>
      <c r="G2958" s="2" t="n"/>
    </row>
    <row r="2959" ht="51" customHeight="1">
      <c r="A2959" s="3" t="inlineStr">
        <is>
          <t>ЗИКС — Защита информации в корпоративных системах
Раздел: Проектирование, создание и аттестация систем защиты информации. · УТП: таблица 2, строка 9</t>
        </is>
      </c>
      <c r="B2959" s="4" t="n"/>
      <c r="C2959" s="4" t="n"/>
      <c r="D2959" s="4" t="n"/>
      <c r="E2959" s="4" t="n"/>
      <c r="F2959" s="4" t="n"/>
      <c r="G2959" s="4" t="n"/>
    </row>
    <row r="2960" ht="30" customHeight="1">
      <c r="A2960" s="3" t="inlineStr">
        <is>
          <t>В программе: Тема 1. Требования к системам защиты информации (8 часов лекции, 4 часа круглый стол).</t>
        </is>
      </c>
      <c r="B2960" s="4" t="n"/>
      <c r="C2960" s="4" t="n"/>
      <c r="D2960" s="4" t="n"/>
      <c r="E2960" s="4" t="n"/>
      <c r="F2960" s="4" t="n"/>
      <c r="G2960" s="4" t="n"/>
    </row>
    <row r="2961" ht="25" customHeight="1">
      <c r="A2961" s="23" t="inlineStr">
        <is>
          <t>Исходная программа ЗИКС ↗</t>
        </is>
      </c>
      <c r="D2961" s="23" t="inlineStr">
        <is>
          <t>Исходный УТП ЗИКС ↗</t>
        </is>
      </c>
    </row>
    <row r="2962" ht="27" customHeight="1">
      <c r="A2962" s="24">
        <f>HYPERLINK("#'Выбор тем'!E"&amp;MATCH("T-AED659CE",'Выбор тем'!$A:$A,0),"← Вернуться к теме")</f>
        <v/>
      </c>
    </row>
    <row r="2964" ht="38" customHeight="1">
      <c r="A2964" s="18" t="inlineStr">
        <is>
          <t>Требования к системам защиты информации. Аттестация систем защиты информации</t>
        </is>
      </c>
      <c r="B2964" s="19" t="n"/>
      <c r="C2964" s="19" t="n"/>
      <c r="D2964" s="19" t="n"/>
      <c r="E2964" s="19" t="n"/>
      <c r="F2964" s="19" t="n"/>
      <c r="G2964" s="19" t="n"/>
    </row>
    <row r="2965" ht="26" customHeight="1">
      <c r="A2965" s="3" t="inlineStr">
        <is>
          <t>T-FB249971 · Программы: ОПКС</t>
        </is>
      </c>
      <c r="B2965" s="4" t="n"/>
      <c r="C2965" s="4" t="n"/>
      <c r="D2965" s="4" t="n"/>
      <c r="E2965" s="4" t="n"/>
      <c r="F2965" s="4" t="n"/>
      <c r="G2965" s="4" t="n"/>
    </row>
    <row r="2966" ht="27" customHeight="1">
      <c r="A2966" s="20" t="inlineStr">
        <is>
          <t>Вариант для: ОПКС</t>
        </is>
      </c>
      <c r="B2966" s="21" t="n"/>
      <c r="C2966" s="21" t="n"/>
      <c r="D2966" s="21" t="n"/>
      <c r="E2966" s="21" t="n"/>
      <c r="F2966" s="21" t="n"/>
      <c r="G2966" s="21" t="n"/>
    </row>
    <row r="2967" ht="32" customHeight="1">
      <c r="A2967" s="22" t="inlineStr">
        <is>
          <t>Требования по обеспечению защиты информации.</t>
        </is>
      </c>
      <c r="B2967" s="2" t="n"/>
      <c r="C2967" s="2" t="n"/>
      <c r="D2967" s="2" t="n"/>
      <c r="E2967" s="2" t="n"/>
      <c r="F2967" s="2" t="n"/>
      <c r="G2967" s="2" t="n"/>
    </row>
    <row r="2968" ht="96" customHeight="1">
      <c r="A2968"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2968" s="2" t="n"/>
      <c r="C2968" s="2" t="n"/>
      <c r="D2968" s="2" t="n"/>
      <c r="E2968" s="2" t="n"/>
      <c r="F2968" s="2" t="n"/>
      <c r="G2968" s="2" t="n"/>
    </row>
    <row r="2969" ht="32" customHeight="1">
      <c r="A2969" s="22" t="inlineStr">
        <is>
          <t>Требования по обеспечению идентификации и аутентификации.</t>
        </is>
      </c>
      <c r="B2969" s="2" t="n"/>
      <c r="C2969" s="2" t="n"/>
      <c r="D2969" s="2" t="n"/>
      <c r="E2969" s="2" t="n"/>
      <c r="F2969" s="2" t="n"/>
      <c r="G2969" s="2" t="n"/>
    </row>
    <row r="2970" ht="112" customHeight="1">
      <c r="A2970"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2970" s="2" t="n"/>
      <c r="C2970" s="2" t="n"/>
      <c r="D2970" s="2" t="n"/>
      <c r="E2970" s="2" t="n"/>
      <c r="F2970" s="2" t="n"/>
      <c r="G2970" s="2" t="n"/>
    </row>
    <row r="2971" ht="32" customHeight="1">
      <c r="A2971" s="22" t="inlineStr">
        <is>
          <t>установленного времени бездействия (неактивности) пользователя информационной системы или по его запросу.</t>
        </is>
      </c>
      <c r="B2971" s="2" t="n"/>
      <c r="C2971" s="2" t="n"/>
      <c r="D2971" s="2" t="n"/>
      <c r="E2971" s="2" t="n"/>
      <c r="F2971" s="2" t="n"/>
      <c r="G2971" s="2" t="n"/>
    </row>
    <row r="2972" ht="32" customHeight="1">
      <c r="A2972" s="22" t="inlineStr">
        <is>
          <t>Требования по защите системы защиты информации информационной системы.</t>
        </is>
      </c>
      <c r="B2972" s="2" t="n"/>
      <c r="C2972" s="2" t="n"/>
      <c r="D2972" s="2" t="n"/>
      <c r="E2972" s="2" t="n"/>
      <c r="F2972" s="2" t="n"/>
      <c r="G2972" s="2" t="n"/>
    </row>
    <row r="2973" ht="96" customHeight="1">
      <c r="A2973"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2973" s="2" t="n"/>
      <c r="C2973" s="2" t="n"/>
      <c r="D2973" s="2" t="n"/>
      <c r="E2973" s="2" t="n"/>
      <c r="F2973" s="2" t="n"/>
      <c r="G2973" s="2" t="n"/>
    </row>
    <row r="2974" ht="32" customHeight="1">
      <c r="A2974" s="22" t="inlineStr">
        <is>
          <t>Дополнительные требования по обеспечению защиты информации в виртуальной инфраструктуре.</t>
        </is>
      </c>
      <c r="B2974" s="2" t="n"/>
      <c r="C2974" s="2" t="n"/>
      <c r="D2974" s="2" t="n"/>
      <c r="E2974" s="2" t="n"/>
      <c r="F2974" s="2" t="n"/>
      <c r="G2974" s="2" t="n"/>
    </row>
    <row r="2975" ht="96" customHeight="1">
      <c r="A2975"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2975" s="2" t="n"/>
      <c r="C2975" s="2" t="n"/>
      <c r="D2975" s="2" t="n"/>
      <c r="E2975" s="2" t="n"/>
      <c r="F2975" s="2" t="n"/>
      <c r="G2975" s="2" t="n"/>
    </row>
    <row r="2976" ht="32" customHeight="1">
      <c r="A2976" s="22" t="inlineStr">
        <is>
          <t>Иные требования.</t>
        </is>
      </c>
      <c r="B2976" s="2" t="n"/>
      <c r="C2976" s="2" t="n"/>
      <c r="D2976" s="2" t="n"/>
      <c r="E2976" s="2" t="n"/>
      <c r="F2976" s="2" t="n"/>
      <c r="G2976" s="2" t="n"/>
    </row>
    <row r="2977" ht="112" customHeight="1">
      <c r="A2977"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2977" s="2" t="n"/>
      <c r="C2977" s="2" t="n"/>
      <c r="D2977" s="2" t="n"/>
      <c r="E2977" s="2" t="n"/>
      <c r="F2977" s="2" t="n"/>
      <c r="G2977" s="2" t="n"/>
    </row>
    <row r="2978" ht="96" customHeight="1">
      <c r="A2978"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2978" s="2" t="n"/>
      <c r="C2978" s="2" t="n"/>
      <c r="D2978" s="2" t="n"/>
      <c r="E2978" s="2" t="n"/>
      <c r="F2978" s="2" t="n"/>
      <c r="G2978" s="2" t="n"/>
    </row>
    <row r="2979" ht="32" customHeight="1">
      <c r="A2979" s="22" t="inlineStr">
        <is>
          <t>Аттестация систем защиты информации.</t>
        </is>
      </c>
      <c r="B2979" s="2" t="n"/>
      <c r="C2979" s="2" t="n"/>
      <c r="D2979" s="2" t="n"/>
      <c r="E2979" s="2" t="n"/>
      <c r="F2979" s="2" t="n"/>
      <c r="G2979" s="2" t="n"/>
    </row>
    <row r="2980" ht="80" customHeight="1">
      <c r="A2980" s="22" t="inlineStr">
        <is>
          <t>Порядок проведения работ по аттестации системы защиты информации информационной системы, предназначенной для обработки информации, распространение и (или) предоставление которой ограничено. Разработка программы и методики аттестации. Проверка правильности отнесения информационной системы к классу (классам) типовых информационных систем. Установление соответствия фактического состава активов информационной системы структурной и логической схемам информационной системы.</t>
        </is>
      </c>
      <c r="B2980" s="2" t="n"/>
      <c r="C2980" s="2" t="n"/>
      <c r="D2980" s="2" t="n"/>
      <c r="E2980" s="2" t="n"/>
      <c r="F2980" s="2" t="n"/>
      <c r="G2980" s="2" t="n"/>
    </row>
    <row r="2981" ht="32" customHeight="1">
      <c r="A2981" s="22" t="inlineStr">
        <is>
          <t>Вопросы круглого стола:</t>
        </is>
      </c>
      <c r="B2981" s="2" t="n"/>
      <c r="C2981" s="2" t="n"/>
      <c r="D2981" s="2" t="n"/>
      <c r="E2981" s="2" t="n"/>
      <c r="F2981" s="2" t="n"/>
      <c r="G2981" s="2" t="n"/>
    </row>
    <row r="2982" ht="32" customHeight="1">
      <c r="A2982" s="22" t="inlineStr">
        <is>
          <t>Проверка достаточности реализованных в системе защиты информации мер по защите информации, в том числе:</t>
        </is>
      </c>
      <c r="B2982" s="2" t="n"/>
      <c r="C2982" s="2" t="n"/>
      <c r="D2982" s="2" t="n"/>
      <c r="E2982" s="2" t="n"/>
      <c r="F2982" s="2" t="n"/>
      <c r="G2982" s="2" t="n"/>
    </row>
    <row r="2983" ht="48" customHeight="1">
      <c r="A2983" s="22" t="inlineStr">
        <is>
          <t>анализ локальных правовых актов и других организационно-распорядительных документов по вопросам применения системы защиты информации на предмет их соответствия требованиям законодательства об информации, информатизации и защите информации;</t>
        </is>
      </c>
      <c r="B2983" s="2" t="n"/>
      <c r="C2983" s="2" t="n"/>
      <c r="D2983" s="2" t="n"/>
      <c r="E2983" s="2" t="n"/>
      <c r="F2983" s="2" t="n"/>
      <c r="G2983" s="2" t="n"/>
    </row>
    <row r="2984" ht="32" customHeight="1">
      <c r="A2984" s="22" t="inlineStr">
        <is>
          <t>проведение испытаний системы защиты информации на предмет выполнения установленных законодательством требований по защите информации;</t>
        </is>
      </c>
      <c r="B2984" s="2" t="n"/>
      <c r="C2984" s="2" t="n"/>
      <c r="D2984" s="2" t="n"/>
      <c r="E2984" s="2" t="n"/>
      <c r="F2984" s="2" t="n"/>
      <c r="G2984" s="2" t="n"/>
    </row>
    <row r="2985" ht="64" customHeight="1">
      <c r="A2985" s="22" t="inlineStr">
        <is>
          <t>внешняя и внутренняя проверка отсутствия либо невозможности использования нарушителем свойств активов информационной системы, средств защиты информации, которые могут быть случайно инициированы (активированы) или умышленно использованы для нарушения безопасности системы и сведения о которых подтверждены изготовителями (разработчиками) этих активов информационной системы, средств защиты информации;</t>
        </is>
      </c>
      <c r="B2985" s="2" t="n"/>
      <c r="C2985" s="2" t="n"/>
      <c r="D2985" s="2" t="n"/>
      <c r="E2985" s="2" t="n"/>
      <c r="F2985" s="2" t="n"/>
      <c r="G2985" s="2" t="n"/>
    </row>
    <row r="2986" ht="32" customHeight="1">
      <c r="A2986" s="22" t="inlineStr">
        <is>
          <t>оценка эффективности защищенности информационной системы классов «3-бг» и (или) «3-дсп» (тестирование на проникновение).</t>
        </is>
      </c>
      <c r="B2986" s="2" t="n"/>
      <c r="C2986" s="2" t="n"/>
      <c r="D2986" s="2" t="n"/>
      <c r="E2986" s="2" t="n"/>
      <c r="F2986" s="2" t="n"/>
      <c r="G2986" s="2" t="n"/>
    </row>
    <row r="2987" ht="32" customHeight="1">
      <c r="A2987" s="22" t="inlineStr">
        <is>
          <t>Оформление технического отчета и протокола испытаний. Оформление аттестата соответствия.</t>
        </is>
      </c>
      <c r="B2987" s="2" t="n"/>
      <c r="C2987" s="2" t="n"/>
      <c r="D2987" s="2" t="n"/>
      <c r="E2987" s="2" t="n"/>
      <c r="F2987" s="2" t="n"/>
      <c r="G2987" s="2" t="n"/>
    </row>
    <row r="2988" ht="51" customHeight="1">
      <c r="A2988"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22</t>
        </is>
      </c>
      <c r="B2988" s="4" t="n"/>
      <c r="C2988" s="4" t="n"/>
      <c r="D2988" s="4" t="n"/>
      <c r="E2988" s="4" t="n"/>
      <c r="F2988" s="4" t="n"/>
      <c r="G2988" s="4" t="n"/>
    </row>
    <row r="2989" ht="30" customHeight="1">
      <c r="A2989" s="3" t="inlineStr">
        <is>
          <t>В программе: Тема 5. Требования к системам защиты информации. Аттестация систем защиты информации (6 часов лекции, 2 часа круглый стол).</t>
        </is>
      </c>
      <c r="B2989" s="4" t="n"/>
      <c r="C2989" s="4" t="n"/>
      <c r="D2989" s="4" t="n"/>
      <c r="E2989" s="4" t="n"/>
      <c r="F2989" s="4" t="n"/>
      <c r="G2989" s="4" t="n"/>
    </row>
    <row r="2990" ht="25" customHeight="1">
      <c r="A2990" s="23" t="inlineStr">
        <is>
          <t>Исходная программа ОПКС ↗</t>
        </is>
      </c>
      <c r="D2990" s="23" t="inlineStr">
        <is>
          <t>Исходный УТП ОПКС ↗</t>
        </is>
      </c>
    </row>
    <row r="2991" ht="27" customHeight="1">
      <c r="A2991" s="24">
        <f>HYPERLINK("#'Выбор тем'!E"&amp;MATCH("T-FB249971",'Выбор тем'!$A:$A,0),"← Вернуться к теме")</f>
        <v/>
      </c>
    </row>
    <row r="2993" ht="38" customHeight="1">
      <c r="A2993" s="18" t="inlineStr">
        <is>
          <t>Требования к системам защиты информации для типовых информационных систем</t>
        </is>
      </c>
      <c r="B2993" s="19" t="n"/>
      <c r="C2993" s="19" t="n"/>
      <c r="D2993" s="19" t="n"/>
      <c r="E2993" s="19" t="n"/>
      <c r="F2993" s="19" t="n"/>
      <c r="G2993" s="19" t="n"/>
    </row>
    <row r="2994" ht="26" customHeight="1">
      <c r="A2994" s="3" t="inlineStr">
        <is>
          <t>T-4C9FADFD · Программы: ПСАЭ</t>
        </is>
      </c>
      <c r="B2994" s="4" t="n"/>
      <c r="C2994" s="4" t="n"/>
      <c r="D2994" s="4" t="n"/>
      <c r="E2994" s="4" t="n"/>
      <c r="F2994" s="4" t="n"/>
      <c r="G2994" s="4" t="n"/>
    </row>
    <row r="2995" ht="27" customHeight="1">
      <c r="A2995" s="20" t="inlineStr">
        <is>
          <t>Вариант для: ПСАЭ</t>
        </is>
      </c>
      <c r="B2995" s="21" t="n"/>
      <c r="C2995" s="21" t="n"/>
      <c r="D2995" s="21" t="n"/>
      <c r="E2995" s="21" t="n"/>
      <c r="F2995" s="21" t="n"/>
      <c r="G2995" s="21" t="n"/>
    </row>
    <row r="2996" ht="32" customHeight="1">
      <c r="A2996" s="22" t="inlineStr">
        <is>
          <t>Требования по обеспечению защиты данных, идентификации и аутентификации, а также по защите системы защиты информации информационной системы.</t>
        </is>
      </c>
      <c r="B2996" s="2" t="n"/>
      <c r="C2996" s="2" t="n"/>
      <c r="D2996" s="2" t="n"/>
      <c r="E2996" s="2" t="n"/>
      <c r="F2996" s="2" t="n"/>
      <c r="G2996" s="2" t="n"/>
    </row>
    <row r="2997" ht="32" customHeight="1">
      <c r="A2997" s="22" t="inlineStr">
        <is>
          <t>Требования в области аудита безопасности и обеспечения криптографической защиты информации.</t>
        </is>
      </c>
      <c r="B2997" s="2" t="n"/>
      <c r="C2997" s="2" t="n"/>
      <c r="D2997" s="2" t="n"/>
      <c r="E2997" s="2" t="n"/>
      <c r="F2997" s="2" t="n"/>
      <c r="G2997" s="2" t="n"/>
    </row>
    <row r="2998" ht="32" customHeight="1">
      <c r="A2998" s="22" t="inlineStr">
        <is>
          <t>Дополнительные требования по обеспечению защиты информации в виртуальной инфраструктуре.</t>
        </is>
      </c>
      <c r="B2998" s="2" t="n"/>
      <c r="C2998" s="2" t="n"/>
      <c r="D2998" s="2" t="n"/>
      <c r="E2998" s="2" t="n"/>
      <c r="F2998" s="2" t="n"/>
      <c r="G2998" s="2" t="n"/>
    </row>
    <row r="2999" ht="32" customHeight="1">
      <c r="A2999" s="22" t="inlineStr">
        <is>
          <t>Требования к организации взаимодействия типовых информационных систем.</t>
        </is>
      </c>
      <c r="B2999" s="2" t="n"/>
      <c r="C2999" s="2" t="n"/>
      <c r="D2999" s="2" t="n"/>
      <c r="E2999" s="2" t="n"/>
      <c r="F2999" s="2" t="n"/>
      <c r="G2999" s="2" t="n"/>
    </row>
    <row r="3000" ht="51" customHeight="1">
      <c r="A3000" s="3" t="inlineStr">
        <is>
          <t>ПСАЭ — Проектирование, создание, аттестация и эксплуатация систем защиты информации
Раздел: Проектирование системы защиты информации организации · УТП: таблица 2, строка 10</t>
        </is>
      </c>
      <c r="B3000" s="4" t="n"/>
      <c r="C3000" s="4" t="n"/>
      <c r="D3000" s="4" t="n"/>
      <c r="E3000" s="4" t="n"/>
      <c r="F3000" s="4" t="n"/>
      <c r="G3000" s="4" t="n"/>
    </row>
    <row r="3001" ht="30" customHeight="1">
      <c r="A3001" s="3" t="inlineStr">
        <is>
          <t>В программе: Тема 2. Требования к системам защиты информации для типовых информационных систем (4 часа лекции).</t>
        </is>
      </c>
      <c r="B3001" s="4" t="n"/>
      <c r="C3001" s="4" t="n"/>
      <c r="D3001" s="4" t="n"/>
      <c r="E3001" s="4" t="n"/>
      <c r="F3001" s="4" t="n"/>
      <c r="G3001" s="4" t="n"/>
    </row>
    <row r="3002" ht="25" customHeight="1">
      <c r="A3002" s="23" t="inlineStr">
        <is>
          <t>Исходная программа ПСАЭ ↗</t>
        </is>
      </c>
      <c r="D3002" s="23" t="inlineStr">
        <is>
          <t>Исходный УТП ПСАЭ ↗</t>
        </is>
      </c>
    </row>
    <row r="3003" ht="27" customHeight="1">
      <c r="A3003" s="24">
        <f>HYPERLINK("#'Выбор тем'!E"&amp;MATCH("T-4C9FADFD",'Выбор тем'!$A:$A,0),"← Вернуться к теме")</f>
        <v/>
      </c>
    </row>
    <row r="3005" ht="38" customHeight="1">
      <c r="A3005" s="18" t="inlineStr">
        <is>
          <t>Требования к системе защиты информации информационных систем</t>
        </is>
      </c>
      <c r="B3005" s="19" t="n"/>
      <c r="C3005" s="19" t="n"/>
      <c r="D3005" s="19" t="n"/>
      <c r="E3005" s="19" t="n"/>
      <c r="F3005" s="19" t="n"/>
      <c r="G3005" s="19" t="n"/>
    </row>
    <row r="3006" ht="26" customHeight="1">
      <c r="A3006" s="3" t="inlineStr">
        <is>
          <t>T-B2AE2A95 · Программы: КВОИ</t>
        </is>
      </c>
      <c r="B3006" s="4" t="n"/>
      <c r="C3006" s="4" t="n"/>
      <c r="D3006" s="4" t="n"/>
      <c r="E3006" s="4" t="n"/>
      <c r="F3006" s="4" t="n"/>
      <c r="G3006" s="4" t="n"/>
    </row>
    <row r="3007" ht="27" customHeight="1">
      <c r="A3007" s="20" t="inlineStr">
        <is>
          <t>Вариант для: КВОИ</t>
        </is>
      </c>
      <c r="B3007" s="21" t="n"/>
      <c r="C3007" s="21" t="n"/>
      <c r="D3007" s="21" t="n"/>
      <c r="E3007" s="21" t="n"/>
      <c r="F3007" s="21" t="n"/>
      <c r="G3007" s="21" t="n"/>
    </row>
    <row r="3008" ht="32" customHeight="1">
      <c r="A3008" s="22" t="inlineStr">
        <is>
          <t>Требования по обеспечению защиты информации.</t>
        </is>
      </c>
      <c r="B3008" s="2" t="n"/>
      <c r="C3008" s="2" t="n"/>
      <c r="D3008" s="2" t="n"/>
      <c r="E3008" s="2" t="n"/>
      <c r="F3008" s="2" t="n"/>
      <c r="G3008" s="2" t="n"/>
    </row>
    <row r="3009" ht="96" customHeight="1">
      <c r="A3009"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09" s="2" t="n"/>
      <c r="C3009" s="2" t="n"/>
      <c r="D3009" s="2" t="n"/>
      <c r="E3009" s="2" t="n"/>
      <c r="F3009" s="2" t="n"/>
      <c r="G3009" s="2" t="n"/>
    </row>
    <row r="3010" ht="32" customHeight="1">
      <c r="A3010" s="22" t="inlineStr">
        <is>
          <t>Требования по обеспечению идентификации и аутентификации.</t>
        </is>
      </c>
      <c r="B3010" s="2" t="n"/>
      <c r="C3010" s="2" t="n"/>
      <c r="D3010" s="2" t="n"/>
      <c r="E3010" s="2" t="n"/>
      <c r="F3010" s="2" t="n"/>
      <c r="G3010" s="2" t="n"/>
    </row>
    <row r="3011" ht="112" customHeight="1">
      <c r="A3011"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11" s="2" t="n"/>
      <c r="C3011" s="2" t="n"/>
      <c r="D3011" s="2" t="n"/>
      <c r="E3011" s="2" t="n"/>
      <c r="F3011" s="2" t="n"/>
      <c r="G3011" s="2" t="n"/>
    </row>
    <row r="3012" ht="32" customHeight="1">
      <c r="A3012" s="22" t="inlineStr">
        <is>
          <t>установленного времени бездействия (неактивности) пользователя информационной системы или по его запросу.</t>
        </is>
      </c>
      <c r="B3012" s="2" t="n"/>
      <c r="C3012" s="2" t="n"/>
      <c r="D3012" s="2" t="n"/>
      <c r="E3012" s="2" t="n"/>
      <c r="F3012" s="2" t="n"/>
      <c r="G3012" s="2" t="n"/>
    </row>
    <row r="3013" ht="32" customHeight="1">
      <c r="A3013" s="22" t="inlineStr">
        <is>
          <t>Требования по защите системы защиты информации информационной системы.</t>
        </is>
      </c>
      <c r="B3013" s="2" t="n"/>
      <c r="C3013" s="2" t="n"/>
      <c r="D3013" s="2" t="n"/>
      <c r="E3013" s="2" t="n"/>
      <c r="F3013" s="2" t="n"/>
      <c r="G3013" s="2" t="n"/>
    </row>
    <row r="3014" ht="96" customHeight="1">
      <c r="A3014"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14" s="2" t="n"/>
      <c r="C3014" s="2" t="n"/>
      <c r="D3014" s="2" t="n"/>
      <c r="E3014" s="2" t="n"/>
      <c r="F3014" s="2" t="n"/>
      <c r="G3014" s="2" t="n"/>
    </row>
    <row r="3015" ht="32" customHeight="1">
      <c r="A3015" s="22" t="inlineStr">
        <is>
          <t>Дополнительные требования по обеспечению защиты информации в виртуальной инфраструктуре.</t>
        </is>
      </c>
      <c r="B3015" s="2" t="n"/>
      <c r="C3015" s="2" t="n"/>
      <c r="D3015" s="2" t="n"/>
      <c r="E3015" s="2" t="n"/>
      <c r="F3015" s="2" t="n"/>
      <c r="G3015" s="2" t="n"/>
    </row>
    <row r="3016" ht="96" customHeight="1">
      <c r="A3016"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16" s="2" t="n"/>
      <c r="C3016" s="2" t="n"/>
      <c r="D3016" s="2" t="n"/>
      <c r="E3016" s="2" t="n"/>
      <c r="F3016" s="2" t="n"/>
      <c r="G3016" s="2" t="n"/>
    </row>
    <row r="3017" ht="32" customHeight="1">
      <c r="A3017" s="22" t="inlineStr">
        <is>
          <t>Иные требования.</t>
        </is>
      </c>
      <c r="B3017" s="2" t="n"/>
      <c r="C3017" s="2" t="n"/>
      <c r="D3017" s="2" t="n"/>
      <c r="E3017" s="2" t="n"/>
      <c r="F3017" s="2" t="n"/>
      <c r="G3017" s="2" t="n"/>
    </row>
    <row r="3018" ht="112" customHeight="1">
      <c r="A3018"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18" s="2" t="n"/>
      <c r="C3018" s="2" t="n"/>
      <c r="D3018" s="2" t="n"/>
      <c r="E3018" s="2" t="n"/>
      <c r="F3018" s="2" t="n"/>
      <c r="G3018" s="2" t="n"/>
    </row>
    <row r="3019" ht="96" customHeight="1">
      <c r="A3019"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19" s="2" t="n"/>
      <c r="C3019" s="2" t="n"/>
      <c r="D3019" s="2" t="n"/>
      <c r="E3019" s="2" t="n"/>
      <c r="F3019" s="2" t="n"/>
      <c r="G3019" s="2" t="n"/>
    </row>
    <row r="3020" ht="32" customHeight="1">
      <c r="A3020" s="22" t="inlineStr">
        <is>
          <t>Средства технической защиты информации.</t>
        </is>
      </c>
      <c r="B3020" s="2" t="n"/>
      <c r="C3020" s="2" t="n"/>
      <c r="D3020" s="2" t="n"/>
      <c r="E3020" s="2" t="n"/>
      <c r="F3020" s="2" t="n"/>
      <c r="G3020" s="2" t="n"/>
    </row>
    <row r="3021" ht="112" customHeight="1">
      <c r="A3021"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3021" s="2" t="n"/>
      <c r="C3021" s="2" t="n"/>
      <c r="D3021" s="2" t="n"/>
      <c r="E3021" s="2" t="n"/>
      <c r="F3021" s="2" t="n"/>
      <c r="G3021" s="2" t="n"/>
    </row>
    <row r="3022" ht="32" customHeight="1">
      <c r="A3022" s="22" t="inlineStr">
        <is>
          <t>внешними подключениями к информационной системе.</t>
        </is>
      </c>
      <c r="B3022" s="2" t="n"/>
      <c r="C3022" s="2" t="n"/>
      <c r="D3022" s="2" t="n"/>
      <c r="E3022" s="2" t="n"/>
      <c r="F3022" s="2" t="n"/>
      <c r="G3022" s="2" t="n"/>
    </row>
    <row r="3023" ht="51" customHeight="1">
      <c r="A3023"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14</t>
        </is>
      </c>
      <c r="B3023" s="4" t="n"/>
      <c r="C3023" s="4" t="n"/>
      <c r="D3023" s="4" t="n"/>
      <c r="E3023" s="4" t="n"/>
      <c r="F3023" s="4" t="n"/>
      <c r="G3023" s="4" t="n"/>
    </row>
    <row r="3024" ht="30" customHeight="1">
      <c r="A3024" s="3" t="inlineStr">
        <is>
          <t>В программе: Тема 2. Требования к системе защиты информации информационных систем (2 часа лекции).</t>
        </is>
      </c>
      <c r="B3024" s="4" t="n"/>
      <c r="C3024" s="4" t="n"/>
      <c r="D3024" s="4" t="n"/>
      <c r="E3024" s="4" t="n"/>
      <c r="F3024" s="4" t="n"/>
      <c r="G3024" s="4" t="n"/>
    </row>
    <row r="3025" ht="25" customHeight="1">
      <c r="A3025" s="23" t="inlineStr">
        <is>
          <t>Исходная программа КВОИ ↗</t>
        </is>
      </c>
      <c r="D3025" s="23" t="inlineStr">
        <is>
          <t>Исходный УТП КВОИ ↗</t>
        </is>
      </c>
    </row>
    <row r="3026" ht="27" customHeight="1">
      <c r="A3026" s="24">
        <f>HYPERLINK("#'Выбор тем'!E"&amp;MATCH("T-B2AE2A95",'Выбор тем'!$A:$A,0),"← Вернуться к теме")</f>
        <v/>
      </c>
    </row>
    <row r="3028" ht="38" customHeight="1">
      <c r="A3028" s="18" t="inlineStr">
        <is>
          <t>Требования по кибербезопасности</t>
        </is>
      </c>
      <c r="B3028" s="19" t="n"/>
      <c r="C3028" s="19" t="n"/>
      <c r="D3028" s="19" t="n"/>
      <c r="E3028" s="19" t="n"/>
      <c r="F3028" s="19" t="n"/>
      <c r="G3028" s="19" t="n"/>
    </row>
    <row r="3029" ht="26" customHeight="1">
      <c r="A3029" s="3" t="inlineStr">
        <is>
          <t>T-615AA328 · Программы: АУРИК, БКТ, ЗИОЗ, КВОИ, ТЗПД</t>
        </is>
      </c>
      <c r="B3029" s="4" t="n"/>
      <c r="C3029" s="4" t="n"/>
      <c r="D3029" s="4" t="n"/>
      <c r="E3029" s="4" t="n"/>
      <c r="F3029" s="4" t="n"/>
      <c r="G3029" s="4" t="n"/>
    </row>
    <row r="3030" ht="27" customHeight="1">
      <c r="A3030" s="20" t="inlineStr">
        <is>
          <t>Вариант для: АУРИК</t>
        </is>
      </c>
      <c r="B3030" s="21" t="n"/>
      <c r="C3030" s="21" t="n"/>
      <c r="D3030" s="21" t="n"/>
      <c r="E3030" s="21" t="n"/>
      <c r="F3030" s="21" t="n"/>
      <c r="G3030" s="21" t="n"/>
    </row>
    <row r="3031" ht="32" customHeight="1">
      <c r="A3031" s="22" t="inlineStr">
        <is>
          <t>Требования по кибербезопасности объектов информационной инфраструктуры.</t>
        </is>
      </c>
      <c r="B3031" s="2" t="n"/>
      <c r="C3031" s="2" t="n"/>
      <c r="D3031" s="2" t="n"/>
      <c r="E3031" s="2" t="n"/>
      <c r="F3031" s="2" t="n"/>
      <c r="G3031" s="2" t="n"/>
    </row>
    <row r="3032" ht="112" customHeight="1">
      <c r="A3032" s="22"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032" s="2" t="n"/>
      <c r="C3032" s="2" t="n"/>
      <c r="D3032" s="2" t="n"/>
      <c r="E3032" s="2" t="n"/>
      <c r="F3032" s="2" t="n"/>
      <c r="G3032" s="2" t="n"/>
    </row>
    <row r="3033" ht="96" customHeight="1">
      <c r="A3033" s="22"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033" s="2" t="n"/>
      <c r="C3033" s="2" t="n"/>
      <c r="D3033" s="2" t="n"/>
      <c r="E3033" s="2" t="n"/>
      <c r="F3033" s="2" t="n"/>
      <c r="G3033" s="2" t="n"/>
    </row>
    <row r="3034" ht="32" customHeight="1">
      <c r="A3034" s="22" t="inlineStr">
        <is>
          <t>Требования к системам защиты информации.</t>
        </is>
      </c>
      <c r="B3034" s="2" t="n"/>
      <c r="C3034" s="2" t="n"/>
      <c r="D3034" s="2" t="n"/>
      <c r="E3034" s="2" t="n"/>
      <c r="F3034" s="2" t="n"/>
      <c r="G3034" s="2" t="n"/>
    </row>
    <row r="3035" ht="32" customHeight="1">
      <c r="A3035" s="22" t="inlineStr">
        <is>
          <t>Требования по обеспечению защиты информации.</t>
        </is>
      </c>
      <c r="B3035" s="2" t="n"/>
      <c r="C3035" s="2" t="n"/>
      <c r="D3035" s="2" t="n"/>
      <c r="E3035" s="2" t="n"/>
      <c r="F3035" s="2" t="n"/>
      <c r="G3035" s="2" t="n"/>
    </row>
    <row r="3036" ht="96" customHeight="1">
      <c r="A3036"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36" s="2" t="n"/>
      <c r="C3036" s="2" t="n"/>
      <c r="D3036" s="2" t="n"/>
      <c r="E3036" s="2" t="n"/>
      <c r="F3036" s="2" t="n"/>
      <c r="G3036" s="2" t="n"/>
    </row>
    <row r="3037" ht="32" customHeight="1">
      <c r="A3037" s="22" t="inlineStr">
        <is>
          <t>Требования по обеспечению идентификации и аутентификации.</t>
        </is>
      </c>
      <c r="B3037" s="2" t="n"/>
      <c r="C3037" s="2" t="n"/>
      <c r="D3037" s="2" t="n"/>
      <c r="E3037" s="2" t="n"/>
      <c r="F3037" s="2" t="n"/>
      <c r="G3037" s="2" t="n"/>
    </row>
    <row r="3038" ht="112" customHeight="1">
      <c r="A3038"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38" s="2" t="n"/>
      <c r="C3038" s="2" t="n"/>
      <c r="D3038" s="2" t="n"/>
      <c r="E3038" s="2" t="n"/>
      <c r="F3038" s="2" t="n"/>
      <c r="G3038" s="2" t="n"/>
    </row>
    <row r="3039" ht="32" customHeight="1">
      <c r="A3039" s="22" t="inlineStr">
        <is>
          <t>установленного времени бездействия (неактивности) пользователя информационной системы или по его запросу.</t>
        </is>
      </c>
      <c r="B3039" s="2" t="n"/>
      <c r="C3039" s="2" t="n"/>
      <c r="D3039" s="2" t="n"/>
      <c r="E3039" s="2" t="n"/>
      <c r="F3039" s="2" t="n"/>
      <c r="G3039" s="2" t="n"/>
    </row>
    <row r="3040" ht="32" customHeight="1">
      <c r="A3040" s="22" t="inlineStr">
        <is>
          <t>Требования по защите системы защиты информации информационной системы.</t>
        </is>
      </c>
      <c r="B3040" s="2" t="n"/>
      <c r="C3040" s="2" t="n"/>
      <c r="D3040" s="2" t="n"/>
      <c r="E3040" s="2" t="n"/>
      <c r="F3040" s="2" t="n"/>
      <c r="G3040" s="2" t="n"/>
    </row>
    <row r="3041" ht="96" customHeight="1">
      <c r="A3041"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41" s="2" t="n"/>
      <c r="C3041" s="2" t="n"/>
      <c r="D3041" s="2" t="n"/>
      <c r="E3041" s="2" t="n"/>
      <c r="F3041" s="2" t="n"/>
      <c r="G3041" s="2" t="n"/>
    </row>
    <row r="3042" ht="32" customHeight="1">
      <c r="A3042" s="22" t="inlineStr">
        <is>
          <t>Дополнительные требования по обеспечению защиты информации в виртуальной инфраструктуре.</t>
        </is>
      </c>
      <c r="B3042" s="2" t="n"/>
      <c r="C3042" s="2" t="n"/>
      <c r="D3042" s="2" t="n"/>
      <c r="E3042" s="2" t="n"/>
      <c r="F3042" s="2" t="n"/>
      <c r="G3042" s="2" t="n"/>
    </row>
    <row r="3043" ht="48" customHeight="1">
      <c r="A3043"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t>
        </is>
      </c>
      <c r="B3043" s="2" t="n"/>
      <c r="C3043" s="2" t="n"/>
      <c r="D3043" s="2" t="n"/>
      <c r="E3043" s="2" t="n"/>
      <c r="F3043" s="2" t="n"/>
      <c r="G3043" s="2" t="n"/>
    </row>
    <row r="3044" ht="32" customHeight="1">
      <c r="A3044" s="22" t="inlineStr">
        <is>
          <t>машин. Обеспечение безопасного перемещения виртуальных машин</t>
        </is>
      </c>
      <c r="B3044" s="2" t="n"/>
      <c r="C3044" s="2" t="n"/>
      <c r="D3044" s="2" t="n"/>
      <c r="E3044" s="2" t="n"/>
      <c r="F3044" s="2" t="n"/>
      <c r="G3044" s="2" t="n"/>
    </row>
    <row r="3045" ht="32" customHeight="1">
      <c r="A3045" s="22" t="inlineStr">
        <is>
          <t>и обрабатываемой на них информации. Обеспечение резервного копирования виртуальных машин. Обеспечение резервирования сетевого оборудования</t>
        </is>
      </c>
      <c r="B3045" s="2" t="n"/>
      <c r="C3045" s="2" t="n"/>
      <c r="D3045" s="2" t="n"/>
      <c r="E3045" s="2" t="n"/>
      <c r="F3045" s="2" t="n"/>
      <c r="G3045" s="2" t="n"/>
    </row>
    <row r="3046" ht="32" customHeight="1">
      <c r="A3046" s="22" t="inlineStr">
        <is>
          <t>по схеме N + 1. Физическая изоляция сегмента виртуальной инфраструктуры (система хранения и обработки информации), предназначенного</t>
        </is>
      </c>
      <c r="B3046" s="2" t="n"/>
      <c r="C3046" s="2" t="n"/>
      <c r="D3046" s="2" t="n"/>
      <c r="E3046" s="2" t="n"/>
      <c r="F3046" s="2" t="n"/>
      <c r="G3046" s="2" t="n"/>
    </row>
    <row r="3047" ht="32" customHeight="1">
      <c r="A3047" s="22" t="inlineStr">
        <is>
          <t>для обработки информации, распространение и (или) предоставление которой ограничено, не отнесенной к государственным секретам.</t>
        </is>
      </c>
      <c r="B3047" s="2" t="n"/>
      <c r="C3047" s="2" t="n"/>
      <c r="D3047" s="2" t="n"/>
      <c r="E3047" s="2" t="n"/>
      <c r="F3047" s="2" t="n"/>
      <c r="G3047" s="2" t="n"/>
    </row>
    <row r="3048" ht="32" customHeight="1">
      <c r="A3048" s="22" t="inlineStr">
        <is>
          <t>Иные требования.</t>
        </is>
      </c>
      <c r="B3048" s="2" t="n"/>
      <c r="C3048" s="2" t="n"/>
      <c r="D3048" s="2" t="n"/>
      <c r="E3048" s="2" t="n"/>
      <c r="F3048" s="2" t="n"/>
      <c r="G3048" s="2" t="n"/>
    </row>
    <row r="3049" ht="112" customHeight="1">
      <c r="A3049"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49" s="2" t="n"/>
      <c r="C3049" s="2" t="n"/>
      <c r="D3049" s="2" t="n"/>
      <c r="E3049" s="2" t="n"/>
      <c r="F3049" s="2" t="n"/>
      <c r="G3049" s="2" t="n"/>
    </row>
    <row r="3050" ht="96" customHeight="1">
      <c r="A3050"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50" s="2" t="n"/>
      <c r="C3050" s="2" t="n"/>
      <c r="D3050" s="2" t="n"/>
      <c r="E3050" s="2" t="n"/>
      <c r="F3050" s="2" t="n"/>
      <c r="G3050" s="2" t="n"/>
    </row>
    <row r="3051" ht="51" customHeight="1">
      <c r="A3051" s="3" t="inlineStr">
        <is>
          <t>АУРИК — Аудит, управление рисками и инцидентами кибербезопасности
Раздел: Практические аспекты обеспечения кибербезопасности · УТП: таблица 2, строка 9</t>
        </is>
      </c>
      <c r="B3051" s="4" t="n"/>
      <c r="C3051" s="4" t="n"/>
      <c r="D3051" s="4" t="n"/>
      <c r="E3051" s="4" t="n"/>
      <c r="F3051" s="4" t="n"/>
      <c r="G3051" s="4" t="n"/>
    </row>
    <row r="3052" ht="30" customHeight="1">
      <c r="A3052" s="3" t="inlineStr">
        <is>
          <t>В программе: Тема 1. Требования по кибербезопасности (6 часов лекции, 2 часа круглый стол).</t>
        </is>
      </c>
      <c r="B3052" s="4" t="n"/>
      <c r="C3052" s="4" t="n"/>
      <c r="D3052" s="4" t="n"/>
      <c r="E3052" s="4" t="n"/>
      <c r="F3052" s="4" t="n"/>
      <c r="G3052" s="4" t="n"/>
    </row>
    <row r="3053" ht="25" customHeight="1">
      <c r="A3053" s="23" t="inlineStr">
        <is>
          <t>Исходная программа АУРИК ↗</t>
        </is>
      </c>
      <c r="D3053" s="23" t="inlineStr">
        <is>
          <t>Исходный УТП АУРИК ↗</t>
        </is>
      </c>
    </row>
    <row r="3054" ht="27" customHeight="1">
      <c r="A3054" s="20" t="inlineStr">
        <is>
          <t>Вариант для: БКТ</t>
        </is>
      </c>
      <c r="B3054" s="21" t="n"/>
      <c r="C3054" s="21" t="n"/>
      <c r="D3054" s="21" t="n"/>
      <c r="E3054" s="21" t="n"/>
      <c r="F3054" s="21" t="n"/>
      <c r="G3054" s="21" t="n"/>
    </row>
    <row r="3055" ht="32" customHeight="1">
      <c r="A3055" s="22" t="inlineStr">
        <is>
          <t>Требования по кибербезопасности объектов информационной инфраструктуры.</t>
        </is>
      </c>
      <c r="B3055" s="2" t="n"/>
      <c r="C3055" s="2" t="n"/>
      <c r="D3055" s="2" t="n"/>
      <c r="E3055" s="2" t="n"/>
      <c r="F3055" s="2" t="n"/>
      <c r="G3055" s="2" t="n"/>
    </row>
    <row r="3056" ht="112" customHeight="1">
      <c r="A3056" s="22"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056" s="2" t="n"/>
      <c r="C3056" s="2" t="n"/>
      <c r="D3056" s="2" t="n"/>
      <c r="E3056" s="2" t="n"/>
      <c r="F3056" s="2" t="n"/>
      <c r="G3056" s="2" t="n"/>
    </row>
    <row r="3057" ht="96" customHeight="1">
      <c r="A3057" s="22"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Защита от вредоносного программного обеспечения.</t>
        </is>
      </c>
      <c r="B3057" s="2" t="n"/>
      <c r="C3057" s="2" t="n"/>
      <c r="D3057" s="2" t="n"/>
      <c r="E3057" s="2" t="n"/>
      <c r="F3057" s="2" t="n"/>
      <c r="G3057" s="2" t="n"/>
    </row>
    <row r="3058" ht="32" customHeight="1">
      <c r="A3058" s="22" t="inlineStr">
        <is>
          <t>Требования к системам защиты информации.</t>
        </is>
      </c>
      <c r="B3058" s="2" t="n"/>
      <c r="C3058" s="2" t="n"/>
      <c r="D3058" s="2" t="n"/>
      <c r="E3058" s="2" t="n"/>
      <c r="F3058" s="2" t="n"/>
      <c r="G3058" s="2" t="n"/>
    </row>
    <row r="3059" ht="32" customHeight="1">
      <c r="A3059" s="22" t="inlineStr">
        <is>
          <t>Требования по обеспечению защиты информации.</t>
        </is>
      </c>
      <c r="B3059" s="2" t="n"/>
      <c r="C3059" s="2" t="n"/>
      <c r="D3059" s="2" t="n"/>
      <c r="E3059" s="2" t="n"/>
      <c r="F3059" s="2" t="n"/>
      <c r="G3059" s="2" t="n"/>
    </row>
    <row r="3060" ht="96" customHeight="1">
      <c r="A3060"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событиям безопасности.</t>
        </is>
      </c>
      <c r="B3060" s="2" t="n"/>
      <c r="C3060" s="2" t="n"/>
      <c r="D3060" s="2" t="n"/>
      <c r="E3060" s="2" t="n"/>
      <c r="F3060" s="2" t="n"/>
      <c r="G3060" s="2" t="n"/>
    </row>
    <row r="3061" ht="32" customHeight="1">
      <c r="A3061" s="22" t="inlineStr">
        <is>
          <t>Требования по обеспечению идентификации и аутентификации.</t>
        </is>
      </c>
      <c r="B3061" s="2" t="n"/>
      <c r="C3061" s="2" t="n"/>
      <c r="D3061" s="2" t="n"/>
      <c r="E3061" s="2" t="n"/>
      <c r="F3061" s="2" t="n"/>
      <c r="G3061" s="2" t="n"/>
    </row>
    <row r="3062" ht="112" customHeight="1">
      <c r="A3062"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62" s="2" t="n"/>
      <c r="C3062" s="2" t="n"/>
      <c r="D3062" s="2" t="n"/>
      <c r="E3062" s="2" t="n"/>
      <c r="F3062" s="2" t="n"/>
      <c r="G3062" s="2" t="n"/>
    </row>
    <row r="3063" ht="32" customHeight="1">
      <c r="A3063" s="22" t="inlineStr">
        <is>
          <t>установленного времени бездействия (неактивности) пользователя информационной системы или по его запросу.</t>
        </is>
      </c>
      <c r="B3063" s="2" t="n"/>
      <c r="C3063" s="2" t="n"/>
      <c r="D3063" s="2" t="n"/>
      <c r="E3063" s="2" t="n"/>
      <c r="F3063" s="2" t="n"/>
      <c r="G3063" s="2" t="n"/>
    </row>
    <row r="3064" ht="32" customHeight="1">
      <c r="A3064" s="22" t="inlineStr">
        <is>
          <t>Требования по защите системы защиты информации информационной системы.</t>
        </is>
      </c>
      <c r="B3064" s="2" t="n"/>
      <c r="C3064" s="2" t="n"/>
      <c r="D3064" s="2" t="n"/>
      <c r="E3064" s="2" t="n"/>
      <c r="F3064" s="2" t="n"/>
      <c r="G3064" s="2" t="n"/>
    </row>
    <row r="3065" ht="96" customHeight="1">
      <c r="A3065"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65" s="2" t="n"/>
      <c r="C3065" s="2" t="n"/>
      <c r="D3065" s="2" t="n"/>
      <c r="E3065" s="2" t="n"/>
      <c r="F3065" s="2" t="n"/>
      <c r="G3065" s="2" t="n"/>
    </row>
    <row r="3066" ht="32" customHeight="1">
      <c r="A3066" s="22" t="inlineStr">
        <is>
          <t>Дополнительные требования по обеспечению защиты информации в виртуальной инфраструктуре.</t>
        </is>
      </c>
      <c r="B3066" s="2" t="n"/>
      <c r="C3066" s="2" t="n"/>
      <c r="D3066" s="2" t="n"/>
      <c r="E3066" s="2" t="n"/>
      <c r="F3066" s="2" t="n"/>
      <c r="G3066" s="2" t="n"/>
    </row>
    <row r="3067" ht="96" customHeight="1">
      <c r="A3067"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67" s="2" t="n"/>
      <c r="C3067" s="2" t="n"/>
      <c r="D3067" s="2" t="n"/>
      <c r="E3067" s="2" t="n"/>
      <c r="F3067" s="2" t="n"/>
      <c r="G3067" s="2" t="n"/>
    </row>
    <row r="3068" ht="32" customHeight="1">
      <c r="A3068" s="22" t="inlineStr">
        <is>
          <t>Иные требования.</t>
        </is>
      </c>
      <c r="B3068" s="2" t="n"/>
      <c r="C3068" s="2" t="n"/>
      <c r="D3068" s="2" t="n"/>
      <c r="E3068" s="2" t="n"/>
      <c r="F3068" s="2" t="n"/>
      <c r="G3068" s="2" t="n"/>
    </row>
    <row r="3069" ht="112" customHeight="1">
      <c r="A3069" s="22" t="inlineStr">
        <is>
          <t>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 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t>
        </is>
      </c>
      <c r="B3069" s="2" t="n"/>
      <c r="C3069" s="2" t="n"/>
      <c r="D3069" s="2" t="n"/>
      <c r="E3069" s="2" t="n"/>
      <c r="F3069" s="2" t="n"/>
      <c r="G3069" s="2" t="n"/>
    </row>
    <row r="3070" ht="64" customHeight="1">
      <c r="A3070" s="22" t="inlineStr">
        <is>
          <t>управления активами информационной системы, средствами защиты информации от сети передачи данных.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70" s="2" t="n"/>
      <c r="C3070" s="2" t="n"/>
      <c r="D3070" s="2" t="n"/>
      <c r="E3070" s="2" t="n"/>
      <c r="F3070" s="2" t="n"/>
      <c r="G3070" s="2" t="n"/>
    </row>
    <row r="3071" ht="32" customHeight="1">
      <c r="A3071" s="22" t="inlineStr">
        <is>
          <t>Вопросы круглого стола:</t>
        </is>
      </c>
      <c r="B3071" s="2" t="n"/>
      <c r="C3071" s="2" t="n"/>
      <c r="D3071" s="2" t="n"/>
      <c r="E3071" s="2" t="n"/>
      <c r="F3071" s="2" t="n"/>
      <c r="G3071" s="2" t="n"/>
    </row>
    <row r="3072" ht="32" customHeight="1">
      <c r="A3072" s="22" t="inlineStr">
        <is>
          <t>Определение перечня разрешенного программного обеспечения и регламентация порядка его установки и использования.</t>
        </is>
      </c>
      <c r="B3072" s="2" t="n"/>
      <c r="C3072" s="2" t="n"/>
      <c r="D3072" s="2" t="n"/>
      <c r="E3072" s="2" t="n"/>
      <c r="F3072" s="2" t="n"/>
      <c r="G3072" s="2" t="n"/>
    </row>
    <row r="3073" ht="32" customHeight="1">
      <c r="A3073" s="22" t="inlineStr">
        <is>
          <t>Определение состава и содержания информации, подлежащей резервному копированию.</t>
        </is>
      </c>
      <c r="B3073" s="2" t="n"/>
      <c r="C3073" s="2" t="n"/>
      <c r="D3073" s="2" t="n"/>
      <c r="E3073" s="2" t="n"/>
      <c r="F3073" s="2" t="n"/>
      <c r="G3073" s="2" t="n"/>
    </row>
    <row r="3074" ht="32" customHeight="1">
      <c r="A3074" s="22" t="inlineStr">
        <is>
          <t>Ежегодное проведение оценки эффективности защищенности информационной системы (тестирование на проникновение).</t>
        </is>
      </c>
      <c r="B3074" s="2" t="n"/>
      <c r="C3074" s="2" t="n"/>
      <c r="D3074" s="2" t="n"/>
      <c r="E3074" s="2" t="n"/>
      <c r="F3074" s="2" t="n"/>
      <c r="G3074" s="2" t="n"/>
    </row>
    <row r="3075" ht="32" customHeight="1">
      <c r="A3075" s="22" t="inlineStr">
        <is>
          <t>Средства технической защиты информации.</t>
        </is>
      </c>
      <c r="B3075" s="2" t="n"/>
      <c r="C3075" s="2" t="n"/>
      <c r="D3075" s="2" t="n"/>
      <c r="E3075" s="2" t="n"/>
      <c r="F3075" s="2" t="n"/>
      <c r="G3075" s="2" t="n"/>
    </row>
    <row r="3076" ht="112" customHeight="1">
      <c r="A3076"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 системы. Обеспечение контроля за</t>
        </is>
      </c>
      <c r="B3076" s="2" t="n"/>
      <c r="C3076" s="2" t="n"/>
      <c r="D3076" s="2" t="n"/>
      <c r="E3076" s="2" t="n"/>
      <c r="F3076" s="2" t="n"/>
      <c r="G3076" s="2" t="n"/>
    </row>
    <row r="3077" ht="32" customHeight="1">
      <c r="A3077" s="22" t="inlineStr">
        <is>
          <t>внешними подключениями к информационной системе.</t>
        </is>
      </c>
      <c r="B3077" s="2" t="n"/>
      <c r="C3077" s="2" t="n"/>
      <c r="D3077" s="2" t="n"/>
      <c r="E3077" s="2" t="n"/>
      <c r="F3077" s="2" t="n"/>
      <c r="G3077" s="2" t="n"/>
    </row>
    <row r="3078" ht="51" customHeight="1">
      <c r="A3078" s="3" t="inlineStr">
        <is>
          <t>БКТ — Безопасность компьютерных технологий
Раздел: Практические аспекты обеспечения кибербезопасности · УТП: таблица 2, строка 15</t>
        </is>
      </c>
      <c r="B3078" s="4" t="n"/>
      <c r="C3078" s="4" t="n"/>
      <c r="D3078" s="4" t="n"/>
      <c r="E3078" s="4" t="n"/>
      <c r="F3078" s="4" t="n"/>
      <c r="G3078" s="4" t="n"/>
    </row>
    <row r="3079" ht="30" customHeight="1">
      <c r="A3079" s="3" t="inlineStr">
        <is>
          <t>В программе: Тема 1. Требования по кибербезопасности (6 часов лекции, 2 часа круглый стол).</t>
        </is>
      </c>
      <c r="B3079" s="4" t="n"/>
      <c r="C3079" s="4" t="n"/>
      <c r="D3079" s="4" t="n"/>
      <c r="E3079" s="4" t="n"/>
      <c r="F3079" s="4" t="n"/>
      <c r="G3079" s="4" t="n"/>
    </row>
    <row r="3080" ht="25" customHeight="1">
      <c r="A3080" s="23" t="inlineStr">
        <is>
          <t>Исходная программа БКТ ↗</t>
        </is>
      </c>
      <c r="D3080" s="23" t="inlineStr">
        <is>
          <t>Исходный УТП БКТ ↗</t>
        </is>
      </c>
    </row>
    <row r="3081" ht="27" customHeight="1">
      <c r="A3081" s="20" t="inlineStr">
        <is>
          <t>Вариант для: ЗИОЗ</t>
        </is>
      </c>
      <c r="B3081" s="21" t="n"/>
      <c r="C3081" s="21" t="n"/>
      <c r="D3081" s="21" t="n"/>
      <c r="E3081" s="21" t="n"/>
      <c r="F3081" s="21" t="n"/>
      <c r="G3081" s="21" t="n"/>
    </row>
    <row r="3082" ht="32" customHeight="1">
      <c r="A3082" s="22" t="inlineStr">
        <is>
          <t>Требования по кибербезопасности объектов информационной инфраструктуры.</t>
        </is>
      </c>
      <c r="B3082" s="2" t="n"/>
      <c r="C3082" s="2" t="n"/>
      <c r="D3082" s="2" t="n"/>
      <c r="E3082" s="2" t="n"/>
      <c r="F3082" s="2" t="n"/>
      <c r="G3082" s="2" t="n"/>
    </row>
    <row r="3083" ht="32" customHeight="1">
      <c r="A3083" s="22" t="inlineStr">
        <is>
          <t>Разработка и поддержание в актуальном состоянии структурной и логической схем объекта информационной инфраструктуры.</t>
        </is>
      </c>
      <c r="B3083" s="2" t="n"/>
      <c r="C3083" s="2" t="n"/>
      <c r="D3083" s="2" t="n"/>
      <c r="E3083" s="2" t="n"/>
      <c r="F3083" s="2" t="n"/>
      <c r="G3083" s="2" t="n"/>
    </row>
    <row r="3084" ht="96" customHeight="1">
      <c r="A3084" s="22" t="inlineStr">
        <is>
          <t>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t>
        </is>
      </c>
      <c r="B3084" s="2" t="n"/>
      <c r="C3084" s="2" t="n"/>
      <c r="D3084" s="2" t="n"/>
      <c r="E3084" s="2" t="n"/>
      <c r="F3084" s="2" t="n"/>
      <c r="G3084" s="2" t="n"/>
    </row>
    <row r="3085" ht="96" customHeight="1">
      <c r="A3085" s="22" t="inlineStr">
        <is>
          <t>Управление доступом к активам объекта информационной инфраструктуры и средствам защиты информации на 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t>
        </is>
      </c>
      <c r="B3085" s="2" t="n"/>
      <c r="C3085" s="2" t="n"/>
      <c r="D3085" s="2" t="n"/>
      <c r="E3085" s="2" t="n"/>
      <c r="F3085" s="2" t="n"/>
      <c r="G3085" s="2" t="n"/>
    </row>
    <row r="3086" ht="48" customHeight="1">
      <c r="A3086" s="22" t="inlineStr">
        <is>
          <t>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086" s="2" t="n"/>
      <c r="C3086" s="2" t="n"/>
      <c r="D3086" s="2" t="n"/>
      <c r="E3086" s="2" t="n"/>
      <c r="F3086" s="2" t="n"/>
      <c r="G3086" s="2" t="n"/>
    </row>
    <row r="3087" ht="32" customHeight="1">
      <c r="A3087" s="22" t="inlineStr">
        <is>
          <t>Требования к системам защиты информации.</t>
        </is>
      </c>
      <c r="B3087" s="2" t="n"/>
      <c r="C3087" s="2" t="n"/>
      <c r="D3087" s="2" t="n"/>
      <c r="E3087" s="2" t="n"/>
      <c r="F3087" s="2" t="n"/>
      <c r="G3087" s="2" t="n"/>
    </row>
    <row r="3088" ht="32" customHeight="1">
      <c r="A3088" s="22" t="inlineStr">
        <is>
          <t>Требования по обеспечению защиты информации.</t>
        </is>
      </c>
      <c r="B3088" s="2" t="n"/>
      <c r="C3088" s="2" t="n"/>
      <c r="D3088" s="2" t="n"/>
      <c r="E3088" s="2" t="n"/>
      <c r="F3088" s="2" t="n"/>
      <c r="G3088" s="2" t="n"/>
    </row>
    <row r="3089" ht="96" customHeight="1">
      <c r="A3089" s="22" t="inlineStr">
        <is>
          <t>Регламентация порядка использования в информационной системе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сведениям о событиях безопасности.</t>
        </is>
      </c>
      <c r="B3089" s="2" t="n"/>
      <c r="C3089" s="2" t="n"/>
      <c r="D3089" s="2" t="n"/>
      <c r="E3089" s="2" t="n"/>
      <c r="F3089" s="2" t="n"/>
      <c r="G3089" s="2" t="n"/>
    </row>
    <row r="3090" ht="32" customHeight="1">
      <c r="A3090" s="22" t="inlineStr">
        <is>
          <t>Требования по обеспечению идентификации и аутентификации.</t>
        </is>
      </c>
      <c r="B3090" s="2" t="n"/>
      <c r="C3090" s="2" t="n"/>
      <c r="D3090" s="2" t="n"/>
      <c r="E3090" s="2" t="n"/>
      <c r="F3090" s="2" t="n"/>
      <c r="G3090" s="2" t="n"/>
    </row>
    <row r="3091" ht="112" customHeight="1">
      <c r="A3091"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информационной системы,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информационной системы. Обеспечение контроля за соблюдением правил генерации и смены паролей пользователей информационной системы. Обеспечение централизованного управления учетными записями пользователей информационной системы. Обеспечение блокировки доступа к активам информационной системы, средствам защиты информации после истечения</t>
        </is>
      </c>
      <c r="B3091" s="2" t="n"/>
      <c r="C3091" s="2" t="n"/>
      <c r="D3091" s="2" t="n"/>
      <c r="E3091" s="2" t="n"/>
      <c r="F3091" s="2" t="n"/>
      <c r="G3091" s="2" t="n"/>
    </row>
    <row r="3092" ht="32" customHeight="1">
      <c r="A3092" s="22" t="inlineStr">
        <is>
          <t>установленного времени бездействия (неактивности) пользователя информационной системы или по его запросу.</t>
        </is>
      </c>
      <c r="B3092" s="2" t="n"/>
      <c r="C3092" s="2" t="n"/>
      <c r="D3092" s="2" t="n"/>
      <c r="E3092" s="2" t="n"/>
      <c r="F3092" s="2" t="n"/>
      <c r="G3092" s="2" t="n"/>
    </row>
    <row r="3093" ht="32" customHeight="1">
      <c r="A3093" s="22" t="inlineStr">
        <is>
          <t>Требования по защите системы защиты информации информационной системы.</t>
        </is>
      </c>
      <c r="B3093" s="2" t="n"/>
      <c r="C3093" s="2" t="n"/>
      <c r="D3093" s="2" t="n"/>
      <c r="E3093" s="2" t="n"/>
      <c r="F3093" s="2" t="n"/>
      <c r="G3093" s="2" t="n"/>
    </row>
    <row r="3094" ht="96" customHeight="1">
      <c r="A3094" s="22" t="inlineStr">
        <is>
          <t>Изменение установленных по умолчанию реквизитов доступа к активам информационной системы, средствам защиты информации либо блокирование возможности их использования. Обеспечение замены или модернизации активов информационной системы,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информационной системы, средства защиты информации. Синхронизация системного времени активов информационной системы, средств защиты информации от единого (общего) источника.</t>
        </is>
      </c>
      <c r="B3094" s="2" t="n"/>
      <c r="C3094" s="2" t="n"/>
      <c r="D3094" s="2" t="n"/>
      <c r="E3094" s="2" t="n"/>
      <c r="F3094" s="2" t="n"/>
      <c r="G3094" s="2" t="n"/>
    </row>
    <row r="3095" ht="32" customHeight="1">
      <c r="A3095" s="22" t="inlineStr">
        <is>
          <t>Дополнительные требования по обеспечению защиты информации в виртуальной инфраструктуре.</t>
        </is>
      </c>
      <c r="B3095" s="2" t="n"/>
      <c r="C3095" s="2" t="n"/>
      <c r="D3095" s="2" t="n"/>
      <c r="E3095" s="2" t="n"/>
      <c r="F3095" s="2" t="n"/>
      <c r="G3095" s="2" t="n"/>
    </row>
    <row r="3096" ht="96" customHeight="1">
      <c r="A3096"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 + 1.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096" s="2" t="n"/>
      <c r="C3096" s="2" t="n"/>
      <c r="D3096" s="2" t="n"/>
      <c r="E3096" s="2" t="n"/>
      <c r="F3096" s="2" t="n"/>
      <c r="G3096" s="2" t="n"/>
    </row>
    <row r="3097" ht="32" customHeight="1">
      <c r="A3097" s="22" t="inlineStr">
        <is>
          <t>Иные требования.</t>
        </is>
      </c>
      <c r="B3097" s="2" t="n"/>
      <c r="C3097" s="2" t="n"/>
      <c r="D3097" s="2" t="n"/>
      <c r="E3097" s="2" t="n"/>
      <c r="F3097" s="2" t="n"/>
      <c r="G3097" s="2" t="n"/>
    </row>
    <row r="3098" ht="112" customHeight="1">
      <c r="A3098"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информационной системы, средств защиты информации. Автоматизированный контроль за составом активов информационной системы, средств защиты информации. Использование активов информационной системы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информационной системы или наличия особенностей функционирования активов информационной системы).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098" s="2" t="n"/>
      <c r="C3098" s="2" t="n"/>
      <c r="D3098" s="2" t="n"/>
      <c r="E3098" s="2" t="n"/>
      <c r="F3098" s="2" t="n"/>
      <c r="G3098" s="2" t="n"/>
    </row>
    <row r="3099" ht="96" customHeight="1">
      <c r="A3099"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информационной системы и средствами защиты информации от сети передачи данных. Ежегодное проведение оценки эффективности защищенности информационной системы (тестирование на проникновение). Обеспечение централизованного сбора и хранения сведений о DNS-запросах активов информационной системы, средств защиты информации в течение установленного срока хранения, но не менее одного месяца.</t>
        </is>
      </c>
      <c r="B3099" s="2" t="n"/>
      <c r="C3099" s="2" t="n"/>
      <c r="D3099" s="2" t="n"/>
      <c r="E3099" s="2" t="n"/>
      <c r="F3099" s="2" t="n"/>
      <c r="G3099" s="2" t="n"/>
    </row>
    <row r="3100" ht="32" customHeight="1">
      <c r="A3100" s="22" t="inlineStr">
        <is>
          <t>Средства технической защиты информации.</t>
        </is>
      </c>
      <c r="B3100" s="2" t="n"/>
      <c r="C3100" s="2" t="n"/>
      <c r="D3100" s="2" t="n"/>
      <c r="E3100" s="2" t="n"/>
      <c r="F3100" s="2" t="n"/>
      <c r="G3100" s="2" t="n"/>
    </row>
    <row r="3101" ht="112" customHeight="1">
      <c r="A3101"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других беспроводных технологий). Обеспечение обнаружения и предотвращения утечек информации из информационной системы, использование системы обнаружения утечек информации из информационной</t>
        </is>
      </c>
      <c r="B3101" s="2" t="n"/>
      <c r="C3101" s="2" t="n"/>
      <c r="D3101" s="2" t="n"/>
      <c r="E3101" s="2" t="n"/>
      <c r="F3101" s="2" t="n"/>
      <c r="G3101" s="2" t="n"/>
    </row>
    <row r="3102" ht="32" customHeight="1">
      <c r="A3102" s="22" t="inlineStr">
        <is>
          <t>системы. Обеспечение контроля за внешними подключениями к информационной системе.</t>
        </is>
      </c>
      <c r="B3102" s="2" t="n"/>
      <c r="C3102" s="2" t="n"/>
      <c r="D3102" s="2" t="n"/>
      <c r="E3102" s="2" t="n"/>
      <c r="F3102" s="2" t="n"/>
      <c r="G3102" s="2" t="n"/>
    </row>
    <row r="3103" ht="32" customHeight="1">
      <c r="A3103" s="22" t="inlineStr">
        <is>
          <t>Вопросы тематической дискуссии:</t>
        </is>
      </c>
      <c r="B3103" s="2" t="n"/>
      <c r="C3103" s="2" t="n"/>
      <c r="D3103" s="2" t="n"/>
      <c r="E3103" s="2" t="n"/>
      <c r="F3103" s="2" t="n"/>
      <c r="G3103" s="2" t="n"/>
    </row>
    <row r="3104" ht="32" customHeight="1">
      <c r="A3104" s="22" t="inlineStr">
        <is>
          <t>Особенности приоритизации требований к системе защиты информации с учетом критичности активов информационной системы.</t>
        </is>
      </c>
      <c r="B3104" s="2" t="n"/>
      <c r="C3104" s="2" t="n"/>
      <c r="D3104" s="2" t="n"/>
      <c r="E3104" s="2" t="n"/>
      <c r="F3104" s="2" t="n"/>
      <c r="G3104" s="2" t="n"/>
    </row>
    <row r="3105" ht="32" customHeight="1">
      <c r="A3105" s="22" t="inlineStr">
        <is>
          <t>Риски несогласованности организационных, программных и технических мер защиты информации при эксплуатации информационной системы.</t>
        </is>
      </c>
      <c r="B3105" s="2" t="n"/>
      <c r="C3105" s="2" t="n"/>
      <c r="D3105" s="2" t="n"/>
      <c r="E3105" s="2" t="n"/>
      <c r="F3105" s="2" t="n"/>
      <c r="G3105" s="2" t="n"/>
    </row>
    <row r="3106" ht="32" customHeight="1">
      <c r="A3106" s="22" t="inlineStr">
        <is>
          <t>Практические аспекты внедрения требований идентификации, аутентификации и управления учетными записями пользователей.</t>
        </is>
      </c>
      <c r="B3106" s="2" t="n"/>
      <c r="C3106" s="2" t="n"/>
      <c r="D3106" s="2" t="n"/>
      <c r="E3106" s="2" t="n"/>
      <c r="F3106" s="2" t="n"/>
      <c r="G3106" s="2" t="n"/>
    </row>
    <row r="3107" ht="32" customHeight="1">
      <c r="A3107" s="22" t="inlineStr">
        <is>
          <t>Ограничения применения типовых мер защиты информации в виртуальной инфраструктуре и распределенных информационных системах.</t>
        </is>
      </c>
      <c r="B3107" s="2" t="n"/>
      <c r="C3107" s="2" t="n"/>
      <c r="D3107" s="2" t="n"/>
      <c r="E3107" s="2" t="n"/>
      <c r="F3107" s="2" t="n"/>
      <c r="G3107" s="2" t="n"/>
    </row>
    <row r="3108" ht="32" customHeight="1">
      <c r="A3108" s="22" t="inlineStr">
        <is>
          <t>Сравнение подходов к выбору средств технической защиты информации с учетом архитектуры, угроз и условий эксплуатации информационной системы.</t>
        </is>
      </c>
      <c r="B3108" s="2" t="n"/>
      <c r="C3108" s="2" t="n"/>
      <c r="D3108" s="2" t="n"/>
      <c r="E3108" s="2" t="n"/>
      <c r="F3108" s="2" t="n"/>
      <c r="G3108" s="2" t="n"/>
    </row>
    <row r="3109" ht="51" customHeight="1">
      <c r="A3109" s="3" t="inlineStr">
        <is>
          <t>ЗИОЗ — Защита информационной инфраструктуры организаций здравоохранения
Раздел: Практические аспекты обеспечения кибербезопасности · УТП: таблица 2, строка 13</t>
        </is>
      </c>
      <c r="B3109" s="4" t="n"/>
      <c r="C3109" s="4" t="n"/>
      <c r="D3109" s="4" t="n"/>
      <c r="E3109" s="4" t="n"/>
      <c r="F3109" s="4" t="n"/>
      <c r="G3109" s="4" t="n"/>
    </row>
    <row r="3110" ht="30" customHeight="1">
      <c r="A3110" s="3" t="inlineStr">
        <is>
          <t>В программе: Тема 1. Требования по кибербезопасности (6 часов лекции, 2 часа тематическая дискуссия).</t>
        </is>
      </c>
      <c r="B3110" s="4" t="n"/>
      <c r="C3110" s="4" t="n"/>
      <c r="D3110" s="4" t="n"/>
      <c r="E3110" s="4" t="n"/>
      <c r="F3110" s="4" t="n"/>
      <c r="G3110" s="4" t="n"/>
    </row>
    <row r="3111" ht="25" customHeight="1">
      <c r="A3111" s="23" t="inlineStr">
        <is>
          <t>Исходная программа ЗИОЗ ↗</t>
        </is>
      </c>
      <c r="D3111" s="23" t="inlineStr">
        <is>
          <t>Исходный УТП ЗИОЗ ↗</t>
        </is>
      </c>
    </row>
    <row r="3112" ht="27" customHeight="1">
      <c r="A3112" s="20" t="inlineStr">
        <is>
          <t>Вариант для: КВОИ</t>
        </is>
      </c>
      <c r="B3112" s="21" t="n"/>
      <c r="C3112" s="21" t="n"/>
      <c r="D3112" s="21" t="n"/>
      <c r="E3112" s="21" t="n"/>
      <c r="F3112" s="21" t="n"/>
      <c r="G3112" s="21" t="n"/>
    </row>
    <row r="3113" ht="112" customHeight="1">
      <c r="A3113" s="22" t="inlineStr">
        <is>
          <t>Разработка и поддержание в актуальном состоянии структурной и логической схем объекта информационной инфраструктуры. 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 Управление доступом к активам объекта информационной инфраструктуры и средствам защиты информации на</t>
        </is>
      </c>
      <c r="B3113" s="2" t="n"/>
      <c r="C3113" s="2" t="n"/>
      <c r="D3113" s="2" t="n"/>
      <c r="E3113" s="2" t="n"/>
      <c r="F3113" s="2" t="n"/>
      <c r="G3113" s="2" t="n"/>
    </row>
    <row r="3114" ht="96" customHeight="1">
      <c r="A3114" s="22" t="inlineStr">
        <is>
          <t>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 Межсетевое экранирование. Средства обнаружения и предотвращения вторжений. Сбор и обработка событий кибербезопасности. Защита от вредоносного программного обеспечения.</t>
        </is>
      </c>
      <c r="B3114" s="2" t="n"/>
      <c r="C3114" s="2" t="n"/>
      <c r="D3114" s="2" t="n"/>
      <c r="E3114" s="2" t="n"/>
      <c r="F3114" s="2" t="n"/>
      <c r="G3114" s="2" t="n"/>
    </row>
    <row r="3115" ht="51" customHeight="1">
      <c r="A3115" s="3" t="inlineStr">
        <is>
          <t>КВОИ — Кибербезопасность критически важных объектов информатизации
Раздел: Практические аспекты обеспечения кибербезопасности критически важных объектов информатизации · УТП: таблица 2, строка 13</t>
        </is>
      </c>
      <c r="B3115" s="4" t="n"/>
      <c r="C3115" s="4" t="n"/>
      <c r="D3115" s="4" t="n"/>
      <c r="E3115" s="4" t="n"/>
      <c r="F3115" s="4" t="n"/>
      <c r="G3115" s="4" t="n"/>
    </row>
    <row r="3116" ht="30" customHeight="1">
      <c r="A3116" s="3" t="inlineStr">
        <is>
          <t>В программе: Тема 1. Требования по кибербезопасности (2 часа лекции).</t>
        </is>
      </c>
      <c r="B3116" s="4" t="n"/>
      <c r="C3116" s="4" t="n"/>
      <c r="D3116" s="4" t="n"/>
      <c r="E3116" s="4" t="n"/>
      <c r="F3116" s="4" t="n"/>
      <c r="G3116" s="4" t="n"/>
    </row>
    <row r="3117" ht="25" customHeight="1">
      <c r="A3117" s="23" t="inlineStr">
        <is>
          <t>Исходная программа КВОИ ↗</t>
        </is>
      </c>
      <c r="D3117" s="23" t="inlineStr">
        <is>
          <t>Исходный УТП КВОИ ↗</t>
        </is>
      </c>
    </row>
    <row r="3118" ht="27" customHeight="1">
      <c r="A3118" s="20" t="inlineStr">
        <is>
          <t>Вариант для: ТЗПД</t>
        </is>
      </c>
      <c r="B3118" s="21" t="n"/>
      <c r="C3118" s="21" t="n"/>
      <c r="D3118" s="21" t="n"/>
      <c r="E3118" s="21" t="n"/>
      <c r="F3118" s="21" t="n"/>
      <c r="G3118" s="21" t="n"/>
    </row>
    <row r="3119" ht="32" customHeight="1">
      <c r="A3119" s="22" t="inlineStr">
        <is>
          <t>Требования по кибербезопасности объектов информационной инфраструктуры.</t>
        </is>
      </c>
      <c r="B3119" s="2" t="n"/>
      <c r="C3119" s="2" t="n"/>
      <c r="D3119" s="2" t="n"/>
      <c r="E3119" s="2" t="n"/>
      <c r="F3119" s="2" t="n"/>
      <c r="G3119" s="2" t="n"/>
    </row>
    <row r="3120" ht="32" customHeight="1">
      <c r="A3120" s="22" t="inlineStr">
        <is>
          <t>Разработка и поддержание в актуальном состоянии структурной и логической схем объекта информационной инфраструктуры.</t>
        </is>
      </c>
      <c r="B3120" s="2" t="n"/>
      <c r="C3120" s="2" t="n"/>
      <c r="D3120" s="2" t="n"/>
      <c r="E3120" s="2" t="n"/>
      <c r="F3120" s="2" t="n"/>
      <c r="G3120" s="2" t="n"/>
    </row>
    <row r="3121" ht="96" customHeight="1">
      <c r="A3121" s="22" t="inlineStr">
        <is>
          <t>Изменение либо блокирование возможности установленных по умолчанию идентификационных и аутентификационных сведений (реквизитов доступа) к активам объекта информационной инфраструктуры и средствам защиты информации. Обновление паролей, организация их хранения в защищенном виде. Идентификация и аутентификация пользователей активов объекта информационной инфраструктуры и средств защиты информации с применением механизмов регистрации, блокировки при превышении количества неудачных попыток входа и своевременным удалением или деактивацией неиспользуемых (неактивных) учетных записей по истечении допустимого срока бездействия.</t>
        </is>
      </c>
      <c r="B3121" s="2" t="n"/>
      <c r="C3121" s="2" t="n"/>
      <c r="D3121" s="2" t="n"/>
      <c r="E3121" s="2" t="n"/>
      <c r="F3121" s="2" t="n"/>
      <c r="G3121" s="2" t="n"/>
    </row>
    <row r="3122" ht="96" customHeight="1">
      <c r="A3122" s="22" t="inlineStr">
        <is>
          <t>Управление доступом к активам объекта информационной инфраструктуры и средствам защиты информации на основании модели разграничения доступа, реализующей принцип минимально необходимых привилегий, с обязательной регистрацией и контролем событий по изменению прав доступа и регулярной верификацией актуальности назначенных прав. Организация доступа к функциям администрирования активов объекта информационной инфраструктуры и средств защиты информации только с обязательной регистрацией всех попыток доступа и ограничением такого доступа. Обновление программного обеспечения до актуальных версий. Синхронизация времени от единого источника.</t>
        </is>
      </c>
      <c r="B3122" s="2" t="n"/>
      <c r="C3122" s="2" t="n"/>
      <c r="D3122" s="2" t="n"/>
      <c r="E3122" s="2" t="n"/>
      <c r="F3122" s="2" t="n"/>
      <c r="G3122" s="2" t="n"/>
    </row>
    <row r="3123" ht="48" customHeight="1">
      <c r="A3123" s="22" t="inlineStr">
        <is>
          <t>Межсетевое экранирование. Средства обнаружения и предотвращения вторжений. Сбор и обработка событий кибербезопасности. Антивирусное программное обеспечение.</t>
        </is>
      </c>
      <c r="B3123" s="2" t="n"/>
      <c r="C3123" s="2" t="n"/>
      <c r="D3123" s="2" t="n"/>
      <c r="E3123" s="2" t="n"/>
      <c r="F3123" s="2" t="n"/>
      <c r="G3123" s="2" t="n"/>
    </row>
    <row r="3124" ht="32" customHeight="1">
      <c r="A3124" s="22" t="inlineStr">
        <is>
          <t>Требования к системам защиты информации.</t>
        </is>
      </c>
      <c r="B3124" s="2" t="n"/>
      <c r="C3124" s="2" t="n"/>
      <c r="D3124" s="2" t="n"/>
      <c r="E3124" s="2" t="n"/>
      <c r="F3124" s="2" t="n"/>
      <c r="G3124" s="2" t="n"/>
    </row>
    <row r="3125" ht="32" customHeight="1">
      <c r="A3125" s="22" t="inlineStr">
        <is>
          <t>Требования по обеспечению защиты информации.</t>
        </is>
      </c>
      <c r="B3125" s="2" t="n"/>
      <c r="C3125" s="2" t="n"/>
      <c r="D3125" s="2" t="n"/>
      <c r="E3125" s="2" t="n"/>
      <c r="F3125" s="2" t="n"/>
      <c r="G3125" s="2" t="n"/>
    </row>
    <row r="3126" ht="96" customHeight="1">
      <c r="A3126" s="22" t="inlineStr">
        <is>
          <t>Регламентация порядка использования в информационных системах съемных носителей информации, мобильных технических средств и контроля за таким использованием. Обеспечение контроля за работоспособностью, параметрами настройки и правильностью функционирования средств вычислительной техники, телекоммуникационного оборудования, системного программного обеспечения и средств защиты информации. Обеспечение защиты от несанкционированного доступа к резервным копиям, параметрам настройки телекоммуникационного оборудования, системного программного обеспечения, средств защиты информации и сведениям о событиях безопасности.</t>
        </is>
      </c>
      <c r="B3126" s="2" t="n"/>
      <c r="C3126" s="2" t="n"/>
      <c r="D3126" s="2" t="n"/>
      <c r="E3126" s="2" t="n"/>
      <c r="F3126" s="2" t="n"/>
      <c r="G3126" s="2" t="n"/>
    </row>
    <row r="3127" ht="32" customHeight="1">
      <c r="A3127" s="22" t="inlineStr">
        <is>
          <t>Требования по обеспечению идентификации и аутентификации.</t>
        </is>
      </c>
      <c r="B3127" s="2" t="n"/>
      <c r="C3127" s="2" t="n"/>
      <c r="D3127" s="2" t="n"/>
      <c r="E3127" s="2" t="n"/>
      <c r="F3127" s="2" t="n"/>
      <c r="G3127" s="2" t="n"/>
    </row>
    <row r="3128" ht="112" customHeight="1">
      <c r="A3128" s="22" t="inlineStr">
        <is>
          <t>Обеспечение разграничения доступа пользователей к средствам вычислительной техники, телекоммуникационному оборудованию, системному и прикладному программному обеспечению, средствам защиты информации. Обеспечение идентификации и аутентификации пользователей активов информационных систем, средств защиты информации. Обеспечение защиты обратной связи при вводе аутентификационной информации. Обеспечение полномочного управления (создание, активация, блокировка и уничтожение) учетными записями пользователей информационных систем. Обеспечение контроля за соблюдением правил генерации и смены паролей пользователей информационных систем. Обеспечение централизованного управления учетными записями пользователей информационных систем. Обеспечение блокировки доступа к активам информационных систем, средствам защиты информации после истечения</t>
        </is>
      </c>
      <c r="B3128" s="2" t="n"/>
      <c r="C3128" s="2" t="n"/>
      <c r="D3128" s="2" t="n"/>
      <c r="E3128" s="2" t="n"/>
      <c r="F3128" s="2" t="n"/>
      <c r="G3128" s="2" t="n"/>
    </row>
    <row r="3129" ht="32" customHeight="1">
      <c r="A3129" s="22" t="inlineStr">
        <is>
          <t>установленного времени бездействия (неактивности) пользователя информационных систем или по его запросу.</t>
        </is>
      </c>
      <c r="B3129" s="2" t="n"/>
      <c r="C3129" s="2" t="n"/>
      <c r="D3129" s="2" t="n"/>
      <c r="E3129" s="2" t="n"/>
      <c r="F3129" s="2" t="n"/>
      <c r="G3129" s="2" t="n"/>
    </row>
    <row r="3130" ht="32" customHeight="1">
      <c r="A3130" s="22" t="inlineStr">
        <is>
          <t>Требования по защите системы защиты информации информационной системы.</t>
        </is>
      </c>
      <c r="B3130" s="2" t="n"/>
      <c r="C3130" s="2" t="n"/>
      <c r="D3130" s="2" t="n"/>
      <c r="E3130" s="2" t="n"/>
      <c r="F3130" s="2" t="n"/>
      <c r="G3130" s="2" t="n"/>
    </row>
    <row r="3131" ht="96" customHeight="1">
      <c r="A3131" s="22" t="inlineStr">
        <is>
          <t>Изменение установленных по умолчанию реквизитов доступа к активам информационных систем, средствам защиты информации либо блокирование возможности их использования. Обеспечение замены или модернизации активов информационных систем, средств защиты информации после истечения установленного для них срока эксплуатации, за исключением случаев, влекущих прекращение функционирования этих активов и средств. Обеспечение контроля и управления физическим доступом в помещения, в которых постоянно размещаются активы информационных систем, средства защиты информации. Синхронизация системного времени активов информационных систем, средств защиты информации от единого (общего) источника.</t>
        </is>
      </c>
      <c r="B3131" s="2" t="n"/>
      <c r="C3131" s="2" t="n"/>
      <c r="D3131" s="2" t="n"/>
      <c r="E3131" s="2" t="n"/>
      <c r="F3131" s="2" t="n"/>
      <c r="G3131" s="2" t="n"/>
    </row>
    <row r="3132" ht="32" customHeight="1">
      <c r="A3132" s="22" t="inlineStr">
        <is>
          <t>Дополнительные требования по обеспечению защиты информации в виртуальной инфраструктуре.</t>
        </is>
      </c>
      <c r="B3132" s="2" t="n"/>
      <c r="C3132" s="2" t="n"/>
      <c r="D3132" s="2" t="n"/>
      <c r="E3132" s="2" t="n"/>
      <c r="F3132" s="2" t="n"/>
      <c r="G3132" s="2" t="n"/>
    </row>
    <row r="3133" ht="96" customHeight="1">
      <c r="A3133" s="22" t="inlineStr">
        <is>
          <t>Обеспечение защиты от агрессивного использования ресурсов виртуальной инфраструктуры потребителями услуг. Обеспечение защиты виртуальной инфраструктуры от несанкционированного доступа и сетевых атак из виртуальной и (или) физической сети, а также виртуальных машин. Обеспечение безопасного перемещения виртуальных машин и обрабатываемой на них информации. Обеспечение резервного копирования виртуальных машин. Обеспечение резервирования сетевого оборудования по схеме N+1. Физическая изоляция сегмента виртуальной инфраструктуры (система хранения и обработки информации), предназначенного для обработки информации, распространение и (или) предоставление которой ограничено, не отнесенной к государственным секретам.</t>
        </is>
      </c>
      <c r="B3133" s="2" t="n"/>
      <c r="C3133" s="2" t="n"/>
      <c r="D3133" s="2" t="n"/>
      <c r="E3133" s="2" t="n"/>
      <c r="F3133" s="2" t="n"/>
      <c r="G3133" s="2" t="n"/>
    </row>
    <row r="3134" ht="32" customHeight="1">
      <c r="A3134" s="22" t="inlineStr">
        <is>
          <t>Иные требования.</t>
        </is>
      </c>
      <c r="B3134" s="2" t="n"/>
      <c r="C3134" s="2" t="n"/>
      <c r="D3134" s="2" t="n"/>
      <c r="E3134" s="2" t="n"/>
      <c r="F3134" s="2" t="n"/>
      <c r="G3134" s="2" t="n"/>
    </row>
    <row r="3135" ht="112" customHeight="1">
      <c r="A3135" s="22" t="inlineStr">
        <is>
          <t>Определение перечня разрешенного программного обеспечения и регламентация порядка его установки и использования. Обеспечение контроля за составом активов информационных систем, средств защиты информации. Автоматизированный контроль за составом активов информационных систем, средств защиты информации. Использование активов информационных систем под пользовательскими учетными записями (использование учетных записей, имеющих административные привилегии, только в случае управления активами информационных систем или наличия особенностей функционирования активов информационных систем). Определение состава и содержания информации, подлежащей резервному копированию. Обеспечение резервного копирования информации. Обеспечение резервного копирования конфигурационных файлов телекоммуникационного оборудования. Обеспечение обновления программного</t>
        </is>
      </c>
      <c r="B3135" s="2" t="n"/>
      <c r="C3135" s="2" t="n"/>
      <c r="D3135" s="2" t="n"/>
      <c r="E3135" s="2" t="n"/>
      <c r="F3135" s="2" t="n"/>
      <c r="G3135" s="2" t="n"/>
    </row>
    <row r="3136" ht="96" customHeight="1">
      <c r="A3136" s="22" t="inlineStr">
        <is>
          <t>обеспечения и контроля за своевременностью такого обновления, за исключением случаев, влекущих прекращение функционирования этих активов и средств. Обеспечение сегментирования (изоляции) сети управления активами информационных систем и средствами защиты информации от сети передачи данных. Ежегодное проведение оценки эффективности защищенности информационных систем (тестирование на проникновение). Обеспечение централизованного сбора и хранения сведений о DNS-запросах активов информационных систем, средств защиты информации в течение установленного срока хранения, но не менее одного месяца.</t>
        </is>
      </c>
      <c r="B3136" s="2" t="n"/>
      <c r="C3136" s="2" t="n"/>
      <c r="D3136" s="2" t="n"/>
      <c r="E3136" s="2" t="n"/>
      <c r="F3136" s="2" t="n"/>
      <c r="G3136" s="2" t="n"/>
    </row>
    <row r="3137" ht="32" customHeight="1">
      <c r="A3137" s="22" t="inlineStr">
        <is>
          <t>Средства технической защиты информации.</t>
        </is>
      </c>
      <c r="B3137" s="2" t="n"/>
      <c r="C3137" s="2" t="n"/>
      <c r="D3137" s="2" t="n"/>
      <c r="E3137" s="2" t="n"/>
      <c r="F3137" s="2" t="n"/>
      <c r="G3137" s="2" t="n"/>
    </row>
    <row r="3138" ht="112" customHeight="1">
      <c r="A3138" s="22" t="inlineStr">
        <is>
          <t>Типы и классы средств защиты информации. Обеспечение защиты от воздействия вредоносных программ. Обеспечение управления информационными потоками (внутренними и внешними) (маршрутизация), использование маршрутизатора (коммутатора маршрутизирующего). Обеспечение межсетевого экранирования при информационном взаимодействии (внутреннем и внешнем) по протоколам сетевого и транспортного уровней. Обеспечение обнаружения и предотвращения вторжений при информационном взаимодействии (внутреннем и внешнем). Обеспечение обнаружения и предотвращения вторжений в информационной системе при использовании в ней беспроводных каналов передачи данных (Wi-Fi и (или) других беспроводных технологий). Обеспечение обнаружения и предотвращения утечек информации из информационных систем, использование системы обнаружения утечек информации из информационных систем.</t>
        </is>
      </c>
      <c r="B3138" s="2" t="n"/>
      <c r="C3138" s="2" t="n"/>
      <c r="D3138" s="2" t="n"/>
      <c r="E3138" s="2" t="n"/>
      <c r="F3138" s="2" t="n"/>
      <c r="G3138" s="2" t="n"/>
    </row>
    <row r="3139" ht="32" customHeight="1">
      <c r="A3139" s="22" t="inlineStr">
        <is>
          <t>Обеспечение контроля за внешними подключениями к информационным системам.</t>
        </is>
      </c>
      <c r="B3139" s="2" t="n"/>
      <c r="C3139" s="2" t="n"/>
      <c r="D3139" s="2" t="n"/>
      <c r="E3139" s="2" t="n"/>
      <c r="F3139" s="2" t="n"/>
      <c r="G3139" s="2" t="n"/>
    </row>
    <row r="3140" ht="32" customHeight="1">
      <c r="A3140" s="22" t="inlineStr">
        <is>
          <t>Вопросы тематической дискуссии:</t>
        </is>
      </c>
      <c r="B3140" s="2" t="n"/>
      <c r="C3140" s="2" t="n"/>
      <c r="D3140" s="2" t="n"/>
      <c r="E3140" s="2" t="n"/>
      <c r="F3140" s="2" t="n"/>
      <c r="G3140" s="2" t="n"/>
    </row>
    <row r="3141" ht="32" customHeight="1">
      <c r="A3141" s="22" t="inlineStr">
        <is>
          <t>Особенности приоритизации требований к системе защиты информации с учетом критичности активов информационной системы.</t>
        </is>
      </c>
      <c r="B3141" s="2" t="n"/>
      <c r="C3141" s="2" t="n"/>
      <c r="D3141" s="2" t="n"/>
      <c r="E3141" s="2" t="n"/>
      <c r="F3141" s="2" t="n"/>
      <c r="G3141" s="2" t="n"/>
    </row>
    <row r="3142" ht="32" customHeight="1">
      <c r="A3142" s="22" t="inlineStr">
        <is>
          <t>Риски несогласованности организационных, программных и технических мер защиты информации при эксплуатации информационной системы.</t>
        </is>
      </c>
      <c r="B3142" s="2" t="n"/>
      <c r="C3142" s="2" t="n"/>
      <c r="D3142" s="2" t="n"/>
      <c r="E3142" s="2" t="n"/>
      <c r="F3142" s="2" t="n"/>
      <c r="G3142" s="2" t="n"/>
    </row>
    <row r="3143" ht="32" customHeight="1">
      <c r="A3143" s="22" t="inlineStr">
        <is>
          <t>Практические аспекты внедрения требований идентификации, аутентификации и управления учетными записями пользователей.</t>
        </is>
      </c>
      <c r="B3143" s="2" t="n"/>
      <c r="C3143" s="2" t="n"/>
      <c r="D3143" s="2" t="n"/>
      <c r="E3143" s="2" t="n"/>
      <c r="F3143" s="2" t="n"/>
      <c r="G3143" s="2" t="n"/>
    </row>
    <row r="3144" ht="32" customHeight="1">
      <c r="A3144" s="22" t="inlineStr">
        <is>
          <t>Ограничения применения типовых мер защиты информации в виртуальной инфраструктуре и распределенных информационных системах.</t>
        </is>
      </c>
      <c r="B3144" s="2" t="n"/>
      <c r="C3144" s="2" t="n"/>
      <c r="D3144" s="2" t="n"/>
      <c r="E3144" s="2" t="n"/>
      <c r="F3144" s="2" t="n"/>
      <c r="G3144" s="2" t="n"/>
    </row>
    <row r="3145" ht="32" customHeight="1">
      <c r="A3145" s="22" t="inlineStr">
        <is>
          <t>Сравнение подходов к выбору средств технической защиты информации с учетом архитектуры, угроз и условий эксплуатации информационной системы.</t>
        </is>
      </c>
      <c r="B3145" s="2" t="n"/>
      <c r="C3145" s="2" t="n"/>
      <c r="D3145" s="2" t="n"/>
      <c r="E3145" s="2" t="n"/>
      <c r="F3145" s="2" t="n"/>
      <c r="G3145" s="2" t="n"/>
    </row>
    <row r="3146" ht="51" customHeight="1">
      <c r="A3146" s="3" t="inlineStr">
        <is>
          <t>ТЗПД — Техническая защита персональных данных
Раздел: Практические аспекты обеспечения кибербезопасности · УТП: таблица 2, строка 14</t>
        </is>
      </c>
      <c r="B3146" s="4" t="n"/>
      <c r="C3146" s="4" t="n"/>
      <c r="D3146" s="4" t="n"/>
      <c r="E3146" s="4" t="n"/>
      <c r="F3146" s="4" t="n"/>
      <c r="G3146" s="4" t="n"/>
    </row>
    <row r="3147" ht="30" customHeight="1">
      <c r="A3147" s="3" t="inlineStr">
        <is>
          <t>В программе: Тема 1. Требования по кибербезопасности (6 часов лекции, 2 часа тематическая дискуссия).</t>
        </is>
      </c>
      <c r="B3147" s="4" t="n"/>
      <c r="C3147" s="4" t="n"/>
      <c r="D3147" s="4" t="n"/>
      <c r="E3147" s="4" t="n"/>
      <c r="F3147" s="4" t="n"/>
      <c r="G3147" s="4" t="n"/>
    </row>
    <row r="3148" ht="25" customHeight="1">
      <c r="A3148" s="23" t="inlineStr">
        <is>
          <t>Исходная программа ТЗПД ↗</t>
        </is>
      </c>
      <c r="D3148" s="23" t="inlineStr">
        <is>
          <t>Исходный УТП ТЗПД ↗</t>
        </is>
      </c>
    </row>
    <row r="3149" ht="27" customHeight="1">
      <c r="A3149" s="24">
        <f>HYPERLINK("#'Выбор тем'!E"&amp;MATCH("T-615AA328",'Выбор тем'!$A:$A,0),"← Вернуться к теме")</f>
        <v/>
      </c>
    </row>
    <row r="3151" ht="38" customHeight="1">
      <c r="A3151" s="18" t="inlineStr">
        <is>
          <t>Требования по кибербезопасности объектов информационной инфраструктуры государственных органов и иных организаций</t>
        </is>
      </c>
      <c r="B3151" s="19" t="n"/>
      <c r="C3151" s="19" t="n"/>
      <c r="D3151" s="19" t="n"/>
      <c r="E3151" s="19" t="n"/>
      <c r="F3151" s="19" t="n"/>
      <c r="G3151" s="19" t="n"/>
    </row>
    <row r="3152" ht="26" customHeight="1">
      <c r="A3152" s="3" t="inlineStr">
        <is>
          <t>T-41BAC61B · Программы: ОКБО</t>
        </is>
      </c>
      <c r="B3152" s="4" t="n"/>
      <c r="C3152" s="4" t="n"/>
      <c r="D3152" s="4" t="n"/>
      <c r="E3152" s="4" t="n"/>
      <c r="F3152" s="4" t="n"/>
      <c r="G3152" s="4" t="n"/>
    </row>
    <row r="3153" ht="27" customHeight="1">
      <c r="A3153" s="20" t="inlineStr">
        <is>
          <t>Вариант для: ОКБО</t>
        </is>
      </c>
      <c r="B3153" s="21" t="n"/>
      <c r="C3153" s="21" t="n"/>
      <c r="D3153" s="21" t="n"/>
      <c r="E3153" s="21" t="n"/>
      <c r="F3153" s="21" t="n"/>
      <c r="G3153" s="21" t="n"/>
    </row>
    <row r="3154" ht="64" customHeight="1">
      <c r="A3154" s="22" t="inlineStr">
        <is>
          <t>Правовые, организационные и технические меры, направленные на блокирование (нейтрализацию) угроз информационной и кибербезопасности объектов информационной инфраструктуры (далее – ОИИ). Управление доступом к активам ОИИ. Обращение с носителями информации. Управление процедурами резервирования. Защита от вредоносного программного обеспечения (далее – ПО).</t>
        </is>
      </c>
      <c r="B3154" s="2" t="n"/>
      <c r="C3154" s="2" t="n"/>
      <c r="D3154" s="2" t="n"/>
      <c r="E3154" s="2" t="n"/>
      <c r="F3154" s="2" t="n"/>
      <c r="G3154" s="2" t="n"/>
    </row>
    <row r="3155" ht="51" customHeight="1">
      <c r="A3155" s="3" t="inlineStr">
        <is>
          <t>ОКБО — Обеспечение кибербезопасности организаций
Раздел: Нормативное правовое регулирование вопросов кибербезопасности в Республике Беларусь · УТП: таблица 2, строка 8</t>
        </is>
      </c>
      <c r="B3155" s="4" t="n"/>
      <c r="C3155" s="4" t="n"/>
      <c r="D3155" s="4" t="n"/>
      <c r="E3155" s="4" t="n"/>
      <c r="F3155" s="4" t="n"/>
      <c r="G3155" s="4" t="n"/>
    </row>
    <row r="3156" ht="30" customHeight="1">
      <c r="A3156" s="3" t="inlineStr">
        <is>
          <t>В программе: Тема 3. Требования по кибербезопасности объектов информационной инфраструктуры государственных органов и иных организаций (2 часа лекции).</t>
        </is>
      </c>
      <c r="B3156" s="4" t="n"/>
      <c r="C3156" s="4" t="n"/>
      <c r="D3156" s="4" t="n"/>
      <c r="E3156" s="4" t="n"/>
      <c r="F3156" s="4" t="n"/>
      <c r="G3156" s="4" t="n"/>
    </row>
    <row r="3157" ht="25" customHeight="1">
      <c r="A3157" s="23" t="inlineStr">
        <is>
          <t>Исходная программа ОКБО ↗</t>
        </is>
      </c>
      <c r="D3157" s="23" t="inlineStr">
        <is>
          <t>Исходный УТП ОКБО ↗</t>
        </is>
      </c>
    </row>
    <row r="3158" ht="27" customHeight="1">
      <c r="A3158" s="24">
        <f>HYPERLINK("#'Выбор тем'!E"&amp;MATCH("T-41BAC61B",'Выбор тем'!$A:$A,0),"← Вернуться к теме")</f>
        <v/>
      </c>
    </row>
    <row r="3160" ht="38" customHeight="1">
      <c r="A3160" s="18" t="inlineStr">
        <is>
          <t>Тренды киберпреступности. Кибератаки с использованием методов социальной инженерии</t>
        </is>
      </c>
      <c r="B3160" s="19" t="n"/>
      <c r="C3160" s="19" t="n"/>
      <c r="D3160" s="19" t="n"/>
      <c r="E3160" s="19" t="n"/>
      <c r="F3160" s="19" t="n"/>
      <c r="G3160" s="19" t="n"/>
    </row>
    <row r="3161" ht="26" customHeight="1">
      <c r="A3161" s="3" t="inlineStr">
        <is>
          <t>T-7D4709CE · Программы: КО</t>
        </is>
      </c>
      <c r="B3161" s="4" t="n"/>
      <c r="C3161" s="4" t="n"/>
      <c r="D3161" s="4" t="n"/>
      <c r="E3161" s="4" t="n"/>
      <c r="F3161" s="4" t="n"/>
      <c r="G3161" s="4" t="n"/>
    </row>
    <row r="3162" ht="27" customHeight="1">
      <c r="A3162" s="20" t="inlineStr">
        <is>
          <t>Вариант для: КО</t>
        </is>
      </c>
      <c r="B3162" s="21" t="n"/>
      <c r="C3162" s="21" t="n"/>
      <c r="D3162" s="21" t="n"/>
      <c r="E3162" s="21" t="n"/>
      <c r="F3162" s="21" t="n"/>
      <c r="G3162" s="21" t="n"/>
    </row>
    <row r="3163" ht="64" customHeight="1">
      <c r="A3163" s="22" t="inlineStr">
        <is>
          <t>Понятие кибератак, осуществляемых с использованием методов социальной инженерии. Виды кибератак, осуществляемых с использованием методов социальной инженерии. Способы установления доверительных отношений. Виды внешних воздействий на человека, позволяющие изменять его эмоциональное состояние. Фишинг и его виды. Модель нарушителя, использующего фишинг. Противодействие фишингу.</t>
        </is>
      </c>
      <c r="B3163" s="2" t="n"/>
      <c r="C3163" s="2" t="n"/>
      <c r="D3163" s="2" t="n"/>
      <c r="E3163" s="2" t="n"/>
      <c r="F3163" s="2" t="n"/>
      <c r="G3163" s="2" t="n"/>
    </row>
    <row r="3164" ht="51" customHeight="1">
      <c r="A3164" s="3" t="inlineStr">
        <is>
          <t>КО — Кибербезопасность государственных и иных организаций
Раздел: Тренды киберпреступности. Кибератаки с использованием методов социальной инженерии. · УТП: таблица 2, строка 11</t>
        </is>
      </c>
      <c r="B3164" s="4" t="n"/>
      <c r="C3164" s="4" t="n"/>
      <c r="D3164" s="4" t="n"/>
      <c r="E3164" s="4" t="n"/>
      <c r="F3164" s="4" t="n"/>
      <c r="G3164" s="4" t="n"/>
    </row>
    <row r="3165" ht="30" customHeight="1">
      <c r="A3165" s="3" t="inlineStr">
        <is>
          <t>В программе: Тема 1. Тренды киберпреступности. Кибератаки с использованием методов социальной инженерии (4 часа лекции).</t>
        </is>
      </c>
      <c r="B3165" s="4" t="n"/>
      <c r="C3165" s="4" t="n"/>
      <c r="D3165" s="4" t="n"/>
      <c r="E3165" s="4" t="n"/>
      <c r="F3165" s="4" t="n"/>
      <c r="G3165" s="4" t="n"/>
    </row>
    <row r="3166" ht="25" customHeight="1">
      <c r="A3166" s="23" t="inlineStr">
        <is>
          <t>Исходная программа КО ↗</t>
        </is>
      </c>
      <c r="D3166" s="23" t="inlineStr">
        <is>
          <t>Исходный УТП КО ↗</t>
        </is>
      </c>
    </row>
    <row r="3167" ht="27" customHeight="1">
      <c r="A3167" s="24">
        <f>HYPERLINK("#'Выбор тем'!E"&amp;MATCH("T-7D4709CE",'Выбор тем'!$A:$A,0),"← Вернуться к теме")</f>
        <v/>
      </c>
    </row>
    <row r="3169" ht="38" customHeight="1">
      <c r="A3169" s="18" t="inlineStr">
        <is>
          <t>Управление киберинцидентами</t>
        </is>
      </c>
      <c r="B3169" s="19" t="n"/>
      <c r="C3169" s="19" t="n"/>
      <c r="D3169" s="19" t="n"/>
      <c r="E3169" s="19" t="n"/>
      <c r="F3169" s="19" t="n"/>
      <c r="G3169" s="19" t="n"/>
    </row>
    <row r="3170" ht="26" customHeight="1">
      <c r="A3170" s="3" t="inlineStr">
        <is>
          <t>T-D2A4FAE7 · Программы: АКБ, АУРИК</t>
        </is>
      </c>
      <c r="B3170" s="4" t="n"/>
      <c r="C3170" s="4" t="n"/>
      <c r="D3170" s="4" t="n"/>
      <c r="E3170" s="4" t="n"/>
      <c r="F3170" s="4" t="n"/>
      <c r="G3170" s="4" t="n"/>
    </row>
    <row r="3171" ht="27" customHeight="1">
      <c r="A3171" s="20" t="inlineStr">
        <is>
          <t>Вариант для: АКБ</t>
        </is>
      </c>
      <c r="B3171" s="21" t="n"/>
      <c r="C3171" s="21" t="n"/>
      <c r="D3171" s="21" t="n"/>
      <c r="E3171" s="21" t="n"/>
      <c r="F3171" s="21" t="n"/>
      <c r="G3171" s="21" t="n"/>
    </row>
    <row r="3172" ht="32" customHeight="1">
      <c r="A3172" s="22" t="inlineStr">
        <is>
          <t>Понятие и классификация киберинцидентов (далее – КИ).</t>
        </is>
      </c>
      <c r="B3172" s="2" t="n"/>
      <c r="C3172" s="2" t="n"/>
      <c r="D3172" s="2" t="n"/>
      <c r="E3172" s="2" t="n"/>
      <c r="F3172" s="2" t="n"/>
      <c r="G3172" s="2" t="n"/>
    </row>
    <row r="3173" ht="48" customHeight="1">
      <c r="A3173" s="22" t="inlineStr">
        <is>
          <t>Узкое и расширенное толкование КИ. Неизбежность КИ как следствие невозможности создания абсолютной защиты. Основные стадии кибератаки. Стадии принятия превентивных мер противодействия потенциальным кибератакам.</t>
        </is>
      </c>
      <c r="B3173" s="2" t="n"/>
      <c r="C3173" s="2" t="n"/>
      <c r="D3173" s="2" t="n"/>
      <c r="E3173" s="2" t="n"/>
      <c r="F3173" s="2" t="n"/>
      <c r="G3173" s="2" t="n"/>
    </row>
    <row r="3174" ht="32" customHeight="1">
      <c r="A3174" s="22" t="inlineStr">
        <is>
          <t>Проблемы в работе с персоналом.</t>
        </is>
      </c>
      <c r="B3174" s="2" t="n"/>
      <c r="C3174" s="2" t="n"/>
      <c r="D3174" s="2" t="n"/>
      <c r="E3174" s="2" t="n"/>
      <c r="F3174" s="2" t="n"/>
      <c r="G3174" s="2" t="n"/>
    </row>
    <row r="3175" ht="64" customHeight="1">
      <c r="A3175" s="22" t="inlineStr">
        <is>
          <t>Отсутствие подготовленного персонала. Последствия поручения работ по защите информации лицам, не обладающим соответствующими знаниями и не несущим ответственность за обеспечение защиты информации. Недопустимость использования «чистых» программистов для обеспечения кибербезопасности. Недочеты в работе с персоналом.</t>
        </is>
      </c>
      <c r="B3175" s="2" t="n"/>
      <c r="C3175" s="2" t="n"/>
      <c r="D3175" s="2" t="n"/>
      <c r="E3175" s="2" t="n"/>
      <c r="F3175" s="2" t="n"/>
      <c r="G3175" s="2" t="n"/>
    </row>
    <row r="3176" ht="32" customHeight="1">
      <c r="A3176" s="22" t="inlineStr">
        <is>
          <t>Уязвимости в программном обеспечении.</t>
        </is>
      </c>
      <c r="B3176" s="2" t="n"/>
      <c r="C3176" s="2" t="n"/>
      <c r="D3176" s="2" t="n"/>
      <c r="E3176" s="2" t="n"/>
      <c r="F3176" s="2" t="n"/>
      <c r="G3176" s="2" t="n"/>
    </row>
    <row r="3177" ht="48" customHeight="1">
      <c r="A3177" s="22" t="inlineStr">
        <is>
          <t>Наличие скрытых уязвимостей в используемых программных средствах. Несоблюдение процедур инсталляции и обслуживания ПО. Консультации с лицами, в чьи обязанности не входит деятельность по защите информации, последствия таких консультаций.</t>
        </is>
      </c>
      <c r="B3177" s="2" t="n"/>
      <c r="C3177" s="2" t="n"/>
      <c r="D3177" s="2" t="n"/>
      <c r="E3177" s="2" t="n"/>
      <c r="F3177" s="2" t="n"/>
      <c r="G3177" s="2" t="n"/>
    </row>
    <row r="3178" ht="32" customHeight="1">
      <c r="A3178" s="22" t="inlineStr">
        <is>
          <t>Действия в случае возникновения КИ. Национальный центр реагирования на киберинциденты.</t>
        </is>
      </c>
      <c r="B3178" s="2" t="n"/>
      <c r="C3178" s="2" t="n"/>
      <c r="D3178" s="2" t="n"/>
      <c r="E3178" s="2" t="n"/>
      <c r="F3178" s="2" t="n"/>
      <c r="G3178" s="2" t="n"/>
    </row>
    <row r="3179" ht="48" customHeight="1">
      <c r="A3179" s="22" t="inlineStr">
        <is>
          <t>Восстановление работоспособности системы. Восстановление работоспособности системы после КИ согласно плану обеспечения непрерывной работы и восстановления функционирования (ОНРВ).</t>
        </is>
      </c>
      <c r="B3179" s="2" t="n"/>
      <c r="C3179" s="2" t="n"/>
      <c r="D3179" s="2" t="n"/>
      <c r="E3179" s="2" t="n"/>
      <c r="F3179" s="2" t="n"/>
      <c r="G3179" s="2" t="n"/>
    </row>
    <row r="3180" ht="48" customHeight="1">
      <c r="A3180" s="22" t="inlineStr">
        <is>
          <t>Взаимодействие с правоохранительными органами в ходе расследования. Официальное обращение в государственные органы. Возбуждение уголовного дела и получение статуса потерпевшего.</t>
        </is>
      </c>
      <c r="B3180" s="2" t="n"/>
      <c r="C3180" s="2" t="n"/>
      <c r="D3180" s="2" t="n"/>
      <c r="E3180" s="2" t="n"/>
      <c r="F3180" s="2" t="n"/>
      <c r="G3180" s="2" t="n"/>
    </row>
    <row r="3181" ht="32" customHeight="1">
      <c r="A3181" s="22" t="inlineStr">
        <is>
          <t>Выявление злоумышленника. Оценка нанесенного злоумышленником ущерба с учетом морального вреда и упущенной выгоды организации.</t>
        </is>
      </c>
      <c r="B3181" s="2" t="n"/>
      <c r="C3181" s="2" t="n"/>
      <c r="D3181" s="2" t="n"/>
      <c r="E3181" s="2" t="n"/>
      <c r="F3181" s="2" t="n"/>
      <c r="G3181" s="2" t="n"/>
    </row>
    <row r="3182" ht="48" customHeight="1">
      <c r="A3182" s="22" t="inlineStr">
        <is>
          <t>Сбор доказательств преступной деятельности злоумышленника. Недопустимость применения незаконных методов сбора доказательств. Различие между служебным расследованием в рамках организации и оперативно-розыскной деятельностью. Участие правоохранительных органов.</t>
        </is>
      </c>
      <c r="B3182" s="2" t="n"/>
      <c r="C3182" s="2" t="n"/>
      <c r="D3182" s="2" t="n"/>
      <c r="E3182" s="2" t="n"/>
      <c r="F3182" s="2" t="n"/>
      <c r="G3182" s="2" t="n"/>
    </row>
    <row r="3183" ht="32" customHeight="1">
      <c r="A3183" s="22" t="inlineStr">
        <is>
          <t>Представительство интересов организации на предварительном следствии и в суде. Некоторые сложности, которые могут при этом возникнуть.</t>
        </is>
      </c>
      <c r="B3183" s="2" t="n"/>
      <c r="C3183" s="2" t="n"/>
      <c r="D3183" s="2" t="n"/>
      <c r="E3183" s="2" t="n"/>
      <c r="F3183" s="2" t="n"/>
      <c r="G3183" s="2" t="n"/>
    </row>
    <row r="3184" ht="48" customHeight="1">
      <c r="A3184" s="22" t="inlineStr">
        <is>
          <t>Устранение причин, способствовавших возникновению КИ. Необходимость полного и окончательного расследования КИ. Раскрытие возможных пособников злоумышленника внутри организации. Обеспечение невозможности возникновения подобных КИ в будущем.</t>
        </is>
      </c>
      <c r="B3184" s="2" t="n"/>
      <c r="C3184" s="2" t="n"/>
      <c r="D3184" s="2" t="n"/>
      <c r="E3184" s="2" t="n"/>
      <c r="F3184" s="2" t="n"/>
      <c r="G3184" s="2" t="n"/>
    </row>
    <row r="3185" ht="32" customHeight="1">
      <c r="A3185" s="22" t="inlineStr">
        <is>
          <t>Юридические предпосылки для минимизации нанесенного КИ ущерба. Организация взаимодействия с правоохранительными органами.</t>
        </is>
      </c>
      <c r="B3185" s="2" t="n"/>
      <c r="C3185" s="2" t="n"/>
      <c r="D3185" s="2" t="n"/>
      <c r="E3185" s="2" t="n"/>
      <c r="F3185" s="2" t="n"/>
      <c r="G3185" s="2" t="n"/>
    </row>
    <row r="3186" ht="48" customHeight="1">
      <c r="A3186" s="22" t="inlineStr">
        <is>
          <t>Комплексная система безопасности на предприятии. Увязка в едином комплексе организационно-административных, программно-технических, «физических» и технических мер как необходимое условие для минимизации нанесенного КИ ущерба.</t>
        </is>
      </c>
      <c r="B3186" s="2" t="n"/>
      <c r="C3186" s="2" t="n"/>
      <c r="D3186" s="2" t="n"/>
      <c r="E3186" s="2" t="n"/>
      <c r="F3186" s="2" t="n"/>
      <c r="G3186" s="2" t="n"/>
    </row>
    <row r="3187" ht="32" customHeight="1">
      <c r="A3187" s="22" t="inlineStr">
        <is>
          <t>Вопросы круглого стола:</t>
        </is>
      </c>
      <c r="B3187" s="2" t="n"/>
      <c r="C3187" s="2" t="n"/>
      <c r="D3187" s="2" t="n"/>
      <c r="E3187" s="2" t="n"/>
      <c r="F3187" s="2" t="n"/>
      <c r="G3187" s="2" t="n"/>
    </row>
    <row r="3188" ht="32" customHeight="1">
      <c r="A3188" s="22" t="inlineStr">
        <is>
          <t>Невозможность решения проблем безопасности каким-то одним способом.</t>
        </is>
      </c>
      <c r="B3188" s="2" t="n"/>
      <c r="C3188" s="2" t="n"/>
      <c r="D3188" s="2" t="n"/>
      <c r="E3188" s="2" t="n"/>
      <c r="F3188" s="2" t="n"/>
      <c r="G3188" s="2" t="n"/>
    </row>
    <row r="3189" ht="32" customHeight="1">
      <c r="A3189" s="22" t="inlineStr">
        <is>
          <t>Примеры таких попыток и их последствия.</t>
        </is>
      </c>
      <c r="B3189" s="2" t="n"/>
      <c r="C3189" s="2" t="n"/>
      <c r="D3189" s="2" t="n"/>
      <c r="E3189" s="2" t="n"/>
      <c r="F3189" s="2" t="n"/>
      <c r="G3189" s="2" t="n"/>
    </row>
    <row r="3190" ht="80" customHeight="1">
      <c r="A3190" s="22" t="inlineStr">
        <is>
          <t>Технические предпосылки для минимизации нанесенного КИ ущерба. Средства защиты от несанкционированного доступа. Протоколирование подозрительных действий, мониторинг активности пользователей для выявления КИ на ранней стадии. Обеспечение доказательственного значения ведущихся лог-файлов. Перекрытие технических каналов снятия информации. «Дилетантский» подход к технической защите информации и его последствия. Обеспечение резервного копирования данных. Диверсификация информационных ресурсов предприятия. Контроль трафика электронной почты и обращения к Web-сайтам.</t>
        </is>
      </c>
      <c r="B3190" s="2" t="n"/>
      <c r="C3190" s="2" t="n"/>
      <c r="D3190" s="2" t="n"/>
      <c r="E3190" s="2" t="n"/>
      <c r="F3190" s="2" t="n"/>
      <c r="G3190" s="2" t="n"/>
    </row>
    <row r="3191" ht="48" customHeight="1">
      <c r="A3191" s="22" t="inlineStr">
        <is>
          <t>План обеспечения непрерывности работы и восстановления работоспособности АС организации. Необходимость предварительной подготовки плана действий в случае КИ, учитывающего различные виды КИ. Автоматизм в исполнении плана.</t>
        </is>
      </c>
      <c r="B3191" s="2" t="n"/>
      <c r="C3191" s="2" t="n"/>
      <c r="D3191" s="2" t="n"/>
      <c r="E3191" s="2" t="n"/>
      <c r="F3191" s="2" t="n"/>
      <c r="G3191" s="2" t="n"/>
    </row>
    <row r="3192" ht="48" customHeight="1">
      <c r="A3192" s="22" t="inlineStr">
        <is>
          <t>Средства контроля эффективности защищенности информации как технический инструмент автоматизации процессов выявления уязвимостей в программном обеспечении и минимизации рисков. Устранение выявленных уязвимостей.</t>
        </is>
      </c>
      <c r="B3192" s="2" t="n"/>
      <c r="C3192" s="2" t="n"/>
      <c r="D3192" s="2" t="n"/>
      <c r="E3192" s="2" t="n"/>
      <c r="F3192" s="2" t="n"/>
      <c r="G3192" s="2" t="n"/>
    </row>
    <row r="3193" ht="51" customHeight="1">
      <c r="A3193" s="3" t="inlineStr">
        <is>
          <t>АКБ — Администратор кибербезопасности
Раздел: Управление киберинцидентами · УТП: таблица 2, строка 20</t>
        </is>
      </c>
      <c r="B3193" s="4" t="n"/>
      <c r="C3193" s="4" t="n"/>
      <c r="D3193" s="4" t="n"/>
      <c r="E3193" s="4" t="n"/>
      <c r="F3193" s="4" t="n"/>
      <c r="G3193" s="4" t="n"/>
    </row>
    <row r="3194" ht="30" customHeight="1">
      <c r="A3194" s="3" t="inlineStr">
        <is>
          <t>В программе: Тема 1. Управление киберинцидентами (8 часов лекции, 4 часа круглый стол).</t>
        </is>
      </c>
      <c r="B3194" s="4" t="n"/>
      <c r="C3194" s="4" t="n"/>
      <c r="D3194" s="4" t="n"/>
      <c r="E3194" s="4" t="n"/>
      <c r="F3194" s="4" t="n"/>
      <c r="G3194" s="4" t="n"/>
    </row>
    <row r="3195" ht="25" customHeight="1">
      <c r="A3195" s="23" t="inlineStr">
        <is>
          <t>Исходная программа АКБ ↗</t>
        </is>
      </c>
      <c r="D3195" s="23" t="inlineStr">
        <is>
          <t>Исходный УТП АКБ ↗</t>
        </is>
      </c>
    </row>
    <row r="3196" ht="27" customHeight="1">
      <c r="A3196" s="20" t="inlineStr">
        <is>
          <t>Вариант для: АУРИК</t>
        </is>
      </c>
      <c r="B3196" s="21" t="n"/>
      <c r="C3196" s="21" t="n"/>
      <c r="D3196" s="21" t="n"/>
      <c r="E3196" s="21" t="n"/>
      <c r="F3196" s="21" t="n"/>
      <c r="G3196" s="21" t="n"/>
    </row>
    <row r="3197" ht="48" customHeight="1">
      <c r="A3197" s="22" t="inlineStr">
        <is>
          <t>Узкое и расширенное толкование КИ. Неизбежность КИ как следствие невозможности создания абсолютной защиты. Основные виды кибератак, тактики и техники их проведения.</t>
        </is>
      </c>
      <c r="B3197" s="2" t="n"/>
      <c r="C3197" s="2" t="n"/>
      <c r="D3197" s="2" t="n"/>
      <c r="E3197" s="2" t="n"/>
      <c r="F3197" s="2" t="n"/>
      <c r="G3197" s="2" t="n"/>
    </row>
    <row r="3198" ht="48" customHeight="1">
      <c r="A3198" s="22" t="inlineStr">
        <is>
          <t>Отсутствие подготовленного персонала. Последствия поручения работ по защите информации лицам, не обладающим соответствующими знаниями и не несущим ответственность за обеспечение защиты информации. Ошибки в работе с персоналом.</t>
        </is>
      </c>
      <c r="B3198" s="2" t="n"/>
      <c r="C3198" s="2" t="n"/>
      <c r="D3198" s="2" t="n"/>
      <c r="E3198" s="2" t="n"/>
      <c r="F3198" s="2" t="n"/>
      <c r="G3198" s="2" t="n"/>
    </row>
    <row r="3199" ht="32" customHeight="1">
      <c r="A3199" s="22" t="inlineStr">
        <is>
          <t>Уязвимости в программном обеспечении.</t>
        </is>
      </c>
      <c r="B3199" s="2" t="n"/>
      <c r="C3199" s="2" t="n"/>
      <c r="D3199" s="2" t="n"/>
      <c r="E3199" s="2" t="n"/>
      <c r="F3199" s="2" t="n"/>
      <c r="G3199" s="2" t="n"/>
    </row>
    <row r="3200" ht="32" customHeight="1">
      <c r="A3200" s="22" t="inlineStr">
        <is>
          <t>Действия в случае возникновения КИ.</t>
        </is>
      </c>
      <c r="B3200" s="2" t="n"/>
      <c r="C3200" s="2" t="n"/>
      <c r="D3200" s="2" t="n"/>
      <c r="E3200" s="2" t="n"/>
      <c r="F3200" s="2" t="n"/>
      <c r="G3200" s="2" t="n"/>
    </row>
    <row r="3201" ht="48" customHeight="1">
      <c r="A3201" s="22" t="inlineStr">
        <is>
          <t>Восстановление работоспособности системы. Восстановление работоспособности системы после КИ согласно плану обеспечения непрерывной работы и восстановления функционирования (ОНРВ).</t>
        </is>
      </c>
      <c r="B3201" s="2" t="n"/>
      <c r="C3201" s="2" t="n"/>
      <c r="D3201" s="2" t="n"/>
      <c r="E3201" s="2" t="n"/>
      <c r="F3201" s="2" t="n"/>
      <c r="G3201" s="2" t="n"/>
    </row>
    <row r="3202" ht="32" customHeight="1">
      <c r="A3202" s="22" t="inlineStr">
        <is>
          <t>Взаимодействие с государственными органами. Национальный центр кибербезопасности. Национальная команда реагирования на киберинциденты.</t>
        </is>
      </c>
      <c r="B3202" s="2" t="n"/>
      <c r="C3202" s="2" t="n"/>
      <c r="D3202" s="2" t="n"/>
      <c r="E3202" s="2" t="n"/>
      <c r="F3202" s="2" t="n"/>
      <c r="G3202" s="2" t="n"/>
    </row>
    <row r="3203" ht="32" customHeight="1">
      <c r="A3203" s="22" t="inlineStr">
        <is>
          <t>Выявление злоумышленника. Оценка нанесенного злоумышленником ущерба с учетом морального вреда и упущенной выгоды организации.</t>
        </is>
      </c>
      <c r="B3203" s="2" t="n"/>
      <c r="C3203" s="2" t="n"/>
      <c r="D3203" s="2" t="n"/>
      <c r="E3203" s="2" t="n"/>
      <c r="F3203" s="2" t="n"/>
      <c r="G3203" s="2" t="n"/>
    </row>
    <row r="3204" ht="32" customHeight="1">
      <c r="A3204" s="22" t="inlineStr">
        <is>
          <t>Сбор доказательств противоправной деятельности злоумышленника. Взаимодействие с правоохранительными органами.</t>
        </is>
      </c>
      <c r="B3204" s="2" t="n"/>
      <c r="C3204" s="2" t="n"/>
      <c r="D3204" s="2" t="n"/>
      <c r="E3204" s="2" t="n"/>
      <c r="F3204" s="2" t="n"/>
      <c r="G3204" s="2" t="n"/>
    </row>
    <row r="3205" ht="32" customHeight="1">
      <c r="A3205" s="22" t="inlineStr">
        <is>
          <t>Установление возможных внутренних нарушителей. Обеспечение невозможности возникновения подобных КИ в будущем.</t>
        </is>
      </c>
      <c r="B3205" s="2" t="n"/>
      <c r="C3205" s="2" t="n"/>
      <c r="D3205" s="2" t="n"/>
      <c r="E3205" s="2" t="n"/>
      <c r="F3205" s="2" t="n"/>
      <c r="G3205" s="2" t="n"/>
    </row>
    <row r="3206" ht="48" customHeight="1">
      <c r="A3206" s="22" t="inlineStr">
        <is>
          <t>План обеспечения непрерывности работы и восстановления работоспособности информационной инфраструктуры организации. Необходимость предварительной подготовки плана действий в случае КИ, учитывающего различные виды КИ. Автоматизм в исполнении плана.</t>
        </is>
      </c>
      <c r="B3206" s="2" t="n"/>
      <c r="C3206" s="2" t="n"/>
      <c r="D3206" s="2" t="n"/>
      <c r="E3206" s="2" t="n"/>
      <c r="F3206" s="2" t="n"/>
      <c r="G3206" s="2" t="n"/>
    </row>
    <row r="3207" ht="48" customHeight="1">
      <c r="A3207" s="22" t="inlineStr">
        <is>
          <t>Средства для оценки эффективности защищенности объектов информационной инфраструктуры от кибератак как технический инструмент автоматизации процессов выявления уязвимостей в программном обеспечении и минимизации рисков. Устранение выявленных уязвимостей.</t>
        </is>
      </c>
      <c r="B3207" s="2" t="n"/>
      <c r="C3207" s="2" t="n"/>
      <c r="D3207" s="2" t="n"/>
      <c r="E3207" s="2" t="n"/>
      <c r="F3207" s="2" t="n"/>
      <c r="G3207" s="2" t="n"/>
    </row>
    <row r="3208" ht="32" customHeight="1">
      <c r="A3208" s="22" t="inlineStr">
        <is>
          <t>Привлечение команд реагирования на киберинциденты, порядок ее функционирования.</t>
        </is>
      </c>
      <c r="B3208" s="2" t="n"/>
      <c r="C3208" s="2" t="n"/>
      <c r="D3208" s="2" t="n"/>
      <c r="E3208" s="2" t="n"/>
      <c r="F3208" s="2" t="n"/>
      <c r="G3208" s="2" t="n"/>
    </row>
    <row r="3209" ht="32" customHeight="1">
      <c r="A3209" s="22" t="inlineStr">
        <is>
          <t>Устранение причин возникновения киберинцидентов.</t>
        </is>
      </c>
      <c r="B3209" s="2" t="n"/>
      <c r="C3209" s="2" t="n"/>
      <c r="D3209" s="2" t="n"/>
      <c r="E3209" s="2" t="n"/>
      <c r="F3209" s="2" t="n"/>
      <c r="G3209" s="2" t="n"/>
    </row>
    <row r="3210" ht="32" customHeight="1">
      <c r="A3210" s="22" t="inlineStr">
        <is>
          <t>Требования по обеспечению сохранности сведений, необходимых для выявления индикаторов компрометации.</t>
        </is>
      </c>
      <c r="B3210" s="2" t="n"/>
      <c r="C3210" s="2" t="n"/>
      <c r="D3210" s="2" t="n"/>
      <c r="E3210" s="2" t="n"/>
      <c r="F3210" s="2" t="n"/>
      <c r="G3210" s="2" t="n"/>
    </row>
    <row r="3211" ht="51" customHeight="1">
      <c r="A3211" s="3" t="inlineStr">
        <is>
          <t>АУРИК — Аудит, управление рисками и инцидентами кибербезопасности
Раздел: Управление киберинцидентами · УТП: таблица 2, строка 23</t>
        </is>
      </c>
      <c r="B3211" s="4" t="n"/>
      <c r="C3211" s="4" t="n"/>
      <c r="D3211" s="4" t="n"/>
      <c r="E3211" s="4" t="n"/>
      <c r="F3211" s="4" t="n"/>
      <c r="G3211" s="4" t="n"/>
    </row>
    <row r="3212" ht="30" customHeight="1">
      <c r="A3212" s="3" t="inlineStr">
        <is>
          <t>В программе: Тема 1. Управление киберинцидентами (6 часов лекции, 2 часа круглый стол).</t>
        </is>
      </c>
      <c r="B3212" s="4" t="n"/>
      <c r="C3212" s="4" t="n"/>
      <c r="D3212" s="4" t="n"/>
      <c r="E3212" s="4" t="n"/>
      <c r="F3212" s="4" t="n"/>
      <c r="G3212" s="4" t="n"/>
    </row>
    <row r="3213" ht="25" customHeight="1">
      <c r="A3213" s="23" t="inlineStr">
        <is>
          <t>Исходная программа АУРИК ↗</t>
        </is>
      </c>
      <c r="D3213" s="23" t="inlineStr">
        <is>
          <t>Исходный УТП АУРИК ↗</t>
        </is>
      </c>
    </row>
    <row r="3214" ht="27" customHeight="1">
      <c r="A3214" s="24">
        <f>HYPERLINK("#'Выбор тем'!E"&amp;MATCH("T-D2A4FAE7",'Выбор тем'!$A:$A,0),"← Вернуться к теме")</f>
        <v/>
      </c>
    </row>
    <row r="3216" ht="38" customHeight="1">
      <c r="A3216" s="18" t="inlineStr">
        <is>
          <t>Управление обновлениями и устранение уязвимостей</t>
        </is>
      </c>
      <c r="B3216" s="19" t="n"/>
      <c r="C3216" s="19" t="n"/>
      <c r="D3216" s="19" t="n"/>
      <c r="E3216" s="19" t="n"/>
      <c r="F3216" s="19" t="n"/>
      <c r="G3216" s="19" t="n"/>
    </row>
    <row r="3217" ht="26" customHeight="1">
      <c r="A3217" s="3" t="inlineStr">
        <is>
          <t>T-F2B40F58 · Программы: ОКБО</t>
        </is>
      </c>
      <c r="B3217" s="4" t="n"/>
      <c r="C3217" s="4" t="n"/>
      <c r="D3217" s="4" t="n"/>
      <c r="E3217" s="4" t="n"/>
      <c r="F3217" s="4" t="n"/>
      <c r="G3217" s="4" t="n"/>
    </row>
    <row r="3218" ht="27" customHeight="1">
      <c r="A3218" s="20" t="inlineStr">
        <is>
          <t>Вариант для: ОКБО</t>
        </is>
      </c>
      <c r="B3218" s="21" t="n"/>
      <c r="C3218" s="21" t="n"/>
      <c r="D3218" s="21" t="n"/>
      <c r="E3218" s="21" t="n"/>
      <c r="F3218" s="21" t="n"/>
      <c r="G3218" s="21" t="n"/>
    </row>
    <row r="3219" ht="48" customHeight="1">
      <c r="A3219" s="22" t="inlineStr">
        <is>
          <t>Устаревшее ПО и уязвимости как одна из основных причин КИ. Процесс управления обновлениями: инвентаризация активов, оценка критичности, установка патчей. Управления уязвимостями, сканирование, анализ CVE. Что такое CVSS, как вычисляется оценка. Обсуждение типичных проблем.</t>
        </is>
      </c>
      <c r="B3219" s="2" t="n"/>
      <c r="C3219" s="2" t="n"/>
      <c r="D3219" s="2" t="n"/>
      <c r="E3219" s="2" t="n"/>
      <c r="F3219" s="2" t="n"/>
      <c r="G3219" s="2" t="n"/>
    </row>
    <row r="3220" ht="51" customHeight="1">
      <c r="A3220" s="3" t="inlineStr">
        <is>
          <t>ОКБО — Обеспечение кибербезопасности организаций
Раздел: Защита конечных устройств · УТП: таблица 2, строка 40</t>
        </is>
      </c>
      <c r="B3220" s="4" t="n"/>
      <c r="C3220" s="4" t="n"/>
      <c r="D3220" s="4" t="n"/>
      <c r="E3220" s="4" t="n"/>
      <c r="F3220" s="4" t="n"/>
      <c r="G3220" s="4" t="n"/>
    </row>
    <row r="3221" ht="30" customHeight="1">
      <c r="A3221" s="3" t="inlineStr">
        <is>
          <t>В программе: Тема 2. Управление обновлениями и устранение уязвимостей (2 часа лекции).</t>
        </is>
      </c>
      <c r="B3221" s="4" t="n"/>
      <c r="C3221" s="4" t="n"/>
      <c r="D3221" s="4" t="n"/>
      <c r="E3221" s="4" t="n"/>
      <c r="F3221" s="4" t="n"/>
      <c r="G3221" s="4" t="n"/>
    </row>
    <row r="3222" ht="25" customHeight="1">
      <c r="A3222" s="23" t="inlineStr">
        <is>
          <t>Исходная программа ОКБО ↗</t>
        </is>
      </c>
      <c r="D3222" s="23" t="inlineStr">
        <is>
          <t>Исходный УТП ОКБО ↗</t>
        </is>
      </c>
    </row>
    <row r="3223" ht="27" customHeight="1">
      <c r="A3223" s="24">
        <f>HYPERLINK("#'Выбор тем'!E"&amp;MATCH("T-F2B40F58",'Выбор тем'!$A:$A,0),"← Вернуться к теме")</f>
        <v/>
      </c>
    </row>
    <row r="3225" ht="38" customHeight="1">
      <c r="A3225" s="18" t="inlineStr">
        <is>
          <t>Управление рисками кибербезопасности</t>
        </is>
      </c>
      <c r="B3225" s="19" t="n"/>
      <c r="C3225" s="19" t="n"/>
      <c r="D3225" s="19" t="n"/>
      <c r="E3225" s="19" t="n"/>
      <c r="F3225" s="19" t="n"/>
      <c r="G3225" s="19" t="n"/>
    </row>
    <row r="3226" ht="26" customHeight="1">
      <c r="A3226" s="3" t="inlineStr">
        <is>
          <t>T-2CAF7650 · Программы: АКБ, БКТ, ТЗПД, ТК</t>
        </is>
      </c>
      <c r="B3226" s="4" t="n"/>
      <c r="C3226" s="4" t="n"/>
      <c r="D3226" s="4" t="n"/>
      <c r="E3226" s="4" t="n"/>
      <c r="F3226" s="4" t="n"/>
      <c r="G3226" s="4" t="n"/>
    </row>
    <row r="3227" ht="27" customHeight="1">
      <c r="A3227" s="20" t="inlineStr">
        <is>
          <t>Вариант для: АКБ, БКТ, ТЗПД, ТК</t>
        </is>
      </c>
      <c r="B3227" s="21" t="n"/>
      <c r="C3227" s="21" t="n"/>
      <c r="D3227" s="21" t="n"/>
      <c r="E3227" s="21" t="n"/>
      <c r="F3227" s="21" t="n"/>
      <c r="G3227" s="21" t="n"/>
    </row>
    <row r="3228" ht="80" customHeight="1">
      <c r="A3228" s="22" t="inlineStr">
        <is>
          <t>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28" s="2" t="n"/>
      <c r="C3228" s="2" t="n"/>
      <c r="D3228" s="2" t="n"/>
      <c r="E3228" s="2" t="n"/>
      <c r="F3228" s="2" t="n"/>
      <c r="G3228" s="2" t="n"/>
    </row>
    <row r="3229" ht="51" customHeight="1">
      <c r="A3229" s="3" t="inlineStr">
        <is>
          <t>АКБ — Администратор кибербезопасности
Раздел: Методологические основы обеспечения кибербезопасности · УТП: таблица 2, строка 10</t>
        </is>
      </c>
      <c r="B3229" s="4" t="n"/>
      <c r="C3229" s="4" t="n"/>
      <c r="D3229" s="4" t="n"/>
      <c r="E3229" s="4" t="n"/>
      <c r="F3229" s="4" t="n"/>
      <c r="G3229" s="4" t="n"/>
    </row>
    <row r="3230" ht="30" customHeight="1">
      <c r="A3230" s="3" t="inlineStr">
        <is>
          <t>В программе: Тема 2. Управление рисками кибербезопасности (4 часа лекции).</t>
        </is>
      </c>
      <c r="B3230" s="4" t="n"/>
      <c r="C3230" s="4" t="n"/>
      <c r="D3230" s="4" t="n"/>
      <c r="E3230" s="4" t="n"/>
      <c r="F3230" s="4" t="n"/>
      <c r="G3230" s="4" t="n"/>
    </row>
    <row r="3231" ht="25" customHeight="1">
      <c r="A3231" s="23" t="inlineStr">
        <is>
          <t>Исходная программа АКБ ↗</t>
        </is>
      </c>
      <c r="D3231" s="23" t="inlineStr">
        <is>
          <t>Исходный УТП АКБ ↗</t>
        </is>
      </c>
    </row>
    <row r="3232" ht="51" customHeight="1">
      <c r="A3232" s="3" t="inlineStr">
        <is>
          <t>БКТ — Безопасность компьютерных технологий
Раздел: Методологические основы обеспечения кибербезопасности · УТП: таблица 2, строка 12</t>
        </is>
      </c>
      <c r="B3232" s="4" t="n"/>
      <c r="C3232" s="4" t="n"/>
      <c r="D3232" s="4" t="n"/>
      <c r="E3232" s="4" t="n"/>
      <c r="F3232" s="4" t="n"/>
      <c r="G3232" s="4" t="n"/>
    </row>
    <row r="3233" ht="30" customHeight="1">
      <c r="A3233" s="3" t="inlineStr">
        <is>
          <t>В программе: Тема 2. Управление рисками кибербезопасности (4 часа лекции).</t>
        </is>
      </c>
      <c r="B3233" s="4" t="n"/>
      <c r="C3233" s="4" t="n"/>
      <c r="D3233" s="4" t="n"/>
      <c r="E3233" s="4" t="n"/>
      <c r="F3233" s="4" t="n"/>
      <c r="G3233" s="4" t="n"/>
    </row>
    <row r="3234" ht="25" customHeight="1">
      <c r="A3234" s="23" t="inlineStr">
        <is>
          <t>Исходная программа БКТ ↗</t>
        </is>
      </c>
      <c r="D3234" s="23" t="inlineStr">
        <is>
          <t>Исходный УТП БКТ ↗</t>
        </is>
      </c>
    </row>
    <row r="3235" ht="51" customHeight="1">
      <c r="A3235" s="3" t="inlineStr">
        <is>
          <t>ТЗПД — Техническая защита персональных данных
Раздел: Методологические основы обеспечения кибербезопасности · УТП: таблица 2, строка 11</t>
        </is>
      </c>
      <c r="B3235" s="4" t="n"/>
      <c r="C3235" s="4" t="n"/>
      <c r="D3235" s="4" t="n"/>
      <c r="E3235" s="4" t="n"/>
      <c r="F3235" s="4" t="n"/>
      <c r="G3235" s="4" t="n"/>
    </row>
    <row r="3236" ht="30" customHeight="1">
      <c r="A3236" s="3" t="inlineStr">
        <is>
          <t>В программе: Тема 1. Управление рисками кибербезопасности (2 часа лекции).</t>
        </is>
      </c>
      <c r="B3236" s="4" t="n"/>
      <c r="C3236" s="4" t="n"/>
      <c r="D3236" s="4" t="n"/>
      <c r="E3236" s="4" t="n"/>
      <c r="F3236" s="4" t="n"/>
      <c r="G3236" s="4" t="n"/>
    </row>
    <row r="3237" ht="25" customHeight="1">
      <c r="A3237" s="23" t="inlineStr">
        <is>
          <t>Исходная программа ТЗПД ↗</t>
        </is>
      </c>
      <c r="D3237" s="23" t="inlineStr">
        <is>
          <t>Исходный УТП ТЗПД ↗</t>
        </is>
      </c>
    </row>
    <row r="3238" ht="51" customHeight="1">
      <c r="A3238" s="3" t="inlineStr">
        <is>
          <t>ТК — Технологии кибербезопасности: от spoofing-атак до VPN и межсетевых экранов
Раздел: Методологические основы обеспечения кибербезопасности корпоративных систем · УТП: таблица 2, строка 9</t>
        </is>
      </c>
      <c r="B3238" s="4" t="n"/>
      <c r="C3238" s="4" t="n"/>
      <c r="D3238" s="4" t="n"/>
      <c r="E3238" s="4" t="n"/>
      <c r="F3238" s="4" t="n"/>
      <c r="G3238" s="4" t="n"/>
    </row>
    <row r="3239" ht="30" customHeight="1">
      <c r="A3239" s="3" t="inlineStr">
        <is>
          <t>В программе: Тема 1. Управление рисками кибербезопасности (4 часа лекции).</t>
        </is>
      </c>
      <c r="B3239" s="4" t="n"/>
      <c r="C3239" s="4" t="n"/>
      <c r="D3239" s="4" t="n"/>
      <c r="E3239" s="4" t="n"/>
      <c r="F3239" s="4" t="n"/>
      <c r="G3239" s="4" t="n"/>
    </row>
    <row r="3240" ht="25" customHeight="1">
      <c r="A3240" s="23" t="inlineStr">
        <is>
          <t>Исходная программа ТК ↗</t>
        </is>
      </c>
      <c r="D3240" s="23" t="inlineStr">
        <is>
          <t>Исходный УТП ТК ↗</t>
        </is>
      </c>
    </row>
    <row r="3241" ht="27" customHeight="1">
      <c r="A3241" s="24">
        <f>HYPERLINK("#'Выбор тем'!E"&amp;MATCH("T-2CAF7650",'Выбор тем'!$A:$A,0),"← Вернуться к теме")</f>
        <v/>
      </c>
    </row>
    <row r="3243" ht="38" customHeight="1">
      <c r="A3243" s="18" t="inlineStr">
        <is>
          <t>Управление рисками кибербезопасности. Аудиты в области обеспечения кибербезопасности</t>
        </is>
      </c>
      <c r="B3243" s="19" t="n"/>
      <c r="C3243" s="19" t="n"/>
      <c r="D3243" s="19" t="n"/>
      <c r="E3243" s="19" t="n"/>
      <c r="F3243" s="19" t="n"/>
      <c r="G3243" s="19" t="n"/>
    </row>
    <row r="3244" ht="26" customHeight="1">
      <c r="A3244" s="3" t="inlineStr">
        <is>
          <t>T-306E1D90 · Программы: ЗИКС, ККС, КО, ОКМ, ОПКС</t>
        </is>
      </c>
      <c r="B3244" s="4" t="n"/>
      <c r="C3244" s="4" t="n"/>
      <c r="D3244" s="4" t="n"/>
      <c r="E3244" s="4" t="n"/>
      <c r="F3244" s="4" t="n"/>
      <c r="G3244" s="4" t="n"/>
    </row>
    <row r="3245" ht="27" customHeight="1">
      <c r="A3245" s="20" t="inlineStr">
        <is>
          <t>Вариант для: ЗИКС</t>
        </is>
      </c>
      <c r="B3245" s="21" t="n"/>
      <c r="C3245" s="21" t="n"/>
      <c r="D3245" s="21" t="n"/>
      <c r="E3245" s="21" t="n"/>
      <c r="F3245" s="21" t="n"/>
      <c r="G3245" s="21" t="n"/>
    </row>
    <row r="3246" ht="80" customHeight="1">
      <c r="A3246" s="22"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информационных систем и их категорирование. Определение ценности активов информационных систем.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46" s="2" t="n"/>
      <c r="C3246" s="2" t="n"/>
      <c r="D3246" s="2" t="n"/>
      <c r="E3246" s="2" t="n"/>
      <c r="F3246" s="2" t="n"/>
      <c r="G3246" s="2" t="n"/>
    </row>
    <row r="3247" ht="51" customHeight="1">
      <c r="A3247"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18</t>
        </is>
      </c>
      <c r="B3247" s="4" t="n"/>
      <c r="C3247" s="4" t="n"/>
      <c r="D3247" s="4" t="n"/>
      <c r="E3247" s="4" t="n"/>
      <c r="F3247" s="4" t="n"/>
      <c r="G3247" s="4" t="n"/>
    </row>
    <row r="3248" ht="30" customHeight="1">
      <c r="A3248" s="3" t="inlineStr">
        <is>
          <t>В программе: Тема 5. Управление рисками кибербезопасности. Аудиты в области обеспечения кибербезопасности (6 часов лекции, 2 часа круглый стол).</t>
        </is>
      </c>
      <c r="B3248" s="4" t="n"/>
      <c r="C3248" s="4" t="n"/>
      <c r="D3248" s="4" t="n"/>
      <c r="E3248" s="4" t="n"/>
      <c r="F3248" s="4" t="n"/>
      <c r="G3248" s="4" t="n"/>
    </row>
    <row r="3249" ht="25" customHeight="1">
      <c r="A3249" s="23" t="inlineStr">
        <is>
          <t>Исходная программа ЗИКС ↗</t>
        </is>
      </c>
      <c r="D3249" s="23" t="inlineStr">
        <is>
          <t>Исходный УТП ЗИКС ↗</t>
        </is>
      </c>
    </row>
    <row r="3250" ht="27" customHeight="1">
      <c r="A3250" s="20" t="inlineStr">
        <is>
          <t>Вариант для: ККС</t>
        </is>
      </c>
      <c r="B3250" s="21" t="n"/>
      <c r="C3250" s="21" t="n"/>
      <c r="D3250" s="21" t="n"/>
      <c r="E3250" s="21" t="n"/>
      <c r="F3250" s="21" t="n"/>
      <c r="G3250" s="21" t="n"/>
    </row>
    <row r="3251" ht="32" customHeight="1">
      <c r="A3251" s="22" t="inlineStr">
        <is>
          <t>Актуальность аудита в области обеспечения кибербезопасности.</t>
        </is>
      </c>
      <c r="B3251" s="2" t="n"/>
      <c r="C3251" s="2" t="n"/>
      <c r="D3251" s="2" t="n"/>
      <c r="E3251" s="2" t="n"/>
      <c r="F3251" s="2" t="n"/>
      <c r="G3251" s="2" t="n"/>
    </row>
    <row r="3252" ht="80" customHeight="1">
      <c r="A3252" s="22"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52" s="2" t="n"/>
      <c r="C3252" s="2" t="n"/>
      <c r="D3252" s="2" t="n"/>
      <c r="E3252" s="2" t="n"/>
      <c r="F3252" s="2" t="n"/>
      <c r="G3252" s="2" t="n"/>
    </row>
    <row r="3253" ht="51" customHeight="1">
      <c r="A3253" s="3" t="inlineStr">
        <is>
          <t>ККС — Кибербезопасность корпоративных систем
Раздел: Правовые и организационные меры по обеспечению кибербезопасности · УТП: таблица 2, строка 13</t>
        </is>
      </c>
      <c r="B3253" s="4" t="n"/>
      <c r="C3253" s="4" t="n"/>
      <c r="D3253" s="4" t="n"/>
      <c r="E3253" s="4" t="n"/>
      <c r="F3253" s="4" t="n"/>
      <c r="G3253" s="4" t="n"/>
    </row>
    <row r="3254" ht="30" customHeight="1">
      <c r="A3254" s="3" t="inlineStr">
        <is>
          <t>В программе: Тема 4. Управление рисками кибербезопасности. Аудиты в области обеспечения кибербезопасности (4 часа лекции).</t>
        </is>
      </c>
      <c r="B3254" s="4" t="n"/>
      <c r="C3254" s="4" t="n"/>
      <c r="D3254" s="4" t="n"/>
      <c r="E3254" s="4" t="n"/>
      <c r="F3254" s="4" t="n"/>
      <c r="G3254" s="4" t="n"/>
    </row>
    <row r="3255" ht="25" customHeight="1">
      <c r="A3255" s="23" t="inlineStr">
        <is>
          <t>Исходная программа ККС ↗</t>
        </is>
      </c>
      <c r="D3255" s="23" t="inlineStr">
        <is>
          <t>Исходный УТП ККС ↗</t>
        </is>
      </c>
    </row>
    <row r="3256" ht="27" customHeight="1">
      <c r="A3256" s="20" t="inlineStr">
        <is>
          <t>Вариант для: КО, ОКМ, ОПКС</t>
        </is>
      </c>
      <c r="B3256" s="21" t="n"/>
      <c r="C3256" s="21" t="n"/>
      <c r="D3256" s="21" t="n"/>
      <c r="E3256" s="21" t="n"/>
      <c r="F3256" s="21" t="n"/>
      <c r="G3256" s="21" t="n"/>
    </row>
    <row r="3257" ht="80" customHeight="1">
      <c r="A3257" s="22" t="inlineStr">
        <is>
          <t>Актуальность аудита кибербезопасности. Внутренний и внешний аудит кибербезопасности. Методология управления рисками кибербезопасности.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оценок. Стандарты в области управления рисками кибербезопасности.</t>
        </is>
      </c>
      <c r="B3257" s="2" t="n"/>
      <c r="C3257" s="2" t="n"/>
      <c r="D3257" s="2" t="n"/>
      <c r="E3257" s="2" t="n"/>
      <c r="F3257" s="2" t="n"/>
      <c r="G3257" s="2" t="n"/>
    </row>
    <row r="3258" ht="51" customHeight="1">
      <c r="A3258" s="3" t="inlineStr">
        <is>
          <t>КО — Кибербезопасность государственных и иных организаций
Раздел: Меры по обеспечению кибербезопасности. · УТП: таблица 2, строка 13</t>
        </is>
      </c>
      <c r="B3258" s="4" t="n"/>
      <c r="C3258" s="4" t="n"/>
      <c r="D3258" s="4" t="n"/>
      <c r="E3258" s="4" t="n"/>
      <c r="F3258" s="4" t="n"/>
      <c r="G3258" s="4" t="n"/>
    </row>
    <row r="3259" ht="30" customHeight="1">
      <c r="A3259" s="3" t="inlineStr">
        <is>
          <t>В программе: Тема 1. Управление рисками кибербезопасности. Аудиты в области обеспечения кибербезопасности (4 часа лекции).</t>
        </is>
      </c>
      <c r="B3259" s="4" t="n"/>
      <c r="C3259" s="4" t="n"/>
      <c r="D3259" s="4" t="n"/>
      <c r="E3259" s="4" t="n"/>
      <c r="F3259" s="4" t="n"/>
      <c r="G3259" s="4" t="n"/>
    </row>
    <row r="3260" ht="25" customHeight="1">
      <c r="A3260" s="23" t="inlineStr">
        <is>
          <t>Исходная программа КО ↗</t>
        </is>
      </c>
      <c r="D3260" s="23" t="inlineStr">
        <is>
          <t>Исходный УТП КО ↗</t>
        </is>
      </c>
    </row>
    <row r="3261" ht="51" customHeight="1">
      <c r="A3261"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13</t>
        </is>
      </c>
      <c r="B3261" s="4" t="n"/>
      <c r="C3261" s="4" t="n"/>
      <c r="D3261" s="4" t="n"/>
      <c r="E3261" s="4" t="n"/>
      <c r="F3261" s="4" t="n"/>
      <c r="G3261" s="4" t="n"/>
    </row>
    <row r="3262" ht="30" customHeight="1">
      <c r="A3262" s="3" t="inlineStr">
        <is>
          <t>В программе: Тема 8. Управление рисками кибербезопасности. Аудиты в области обеспечения кибербезопасности (4 часа лекции).</t>
        </is>
      </c>
      <c r="B3262" s="4" t="n"/>
      <c r="C3262" s="4" t="n"/>
      <c r="D3262" s="4" t="n"/>
      <c r="E3262" s="4" t="n"/>
      <c r="F3262" s="4" t="n"/>
      <c r="G3262" s="4" t="n"/>
    </row>
    <row r="3263" ht="25" customHeight="1">
      <c r="A3263" s="23" t="inlineStr">
        <is>
          <t>Исходная программа ОКМ ↗</t>
        </is>
      </c>
      <c r="D3263" s="23" t="inlineStr">
        <is>
          <t>Исходный УТП ОКМ ↗</t>
        </is>
      </c>
    </row>
    <row r="3264" ht="51" customHeight="1">
      <c r="A3264"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20</t>
        </is>
      </c>
      <c r="B3264" s="4" t="n"/>
      <c r="C3264" s="4" t="n"/>
      <c r="D3264" s="4" t="n"/>
      <c r="E3264" s="4" t="n"/>
      <c r="F3264" s="4" t="n"/>
      <c r="G3264" s="4" t="n"/>
    </row>
    <row r="3265" ht="30" customHeight="1">
      <c r="A3265" s="3" t="inlineStr">
        <is>
          <t>В программе: Тема 3. Управление рисками кибербезопасности. Аудиты в области обеспечения кибербезопасности (4 часа лекции).</t>
        </is>
      </c>
      <c r="B3265" s="4" t="n"/>
      <c r="C3265" s="4" t="n"/>
      <c r="D3265" s="4" t="n"/>
      <c r="E3265" s="4" t="n"/>
      <c r="F3265" s="4" t="n"/>
      <c r="G3265" s="4" t="n"/>
    </row>
    <row r="3266" ht="25" customHeight="1">
      <c r="A3266" s="23" t="inlineStr">
        <is>
          <t>Исходная программа ОПКС ↗</t>
        </is>
      </c>
      <c r="D3266" s="23" t="inlineStr">
        <is>
          <t>Исходный УТП ОПКС ↗</t>
        </is>
      </c>
    </row>
    <row r="3267" ht="27" customHeight="1">
      <c r="A3267" s="24">
        <f>HYPERLINK("#'Выбор тем'!E"&amp;MATCH("T-306E1D90",'Выбор тем'!$A:$A,0),"← Вернуться к теме")</f>
        <v/>
      </c>
    </row>
    <row r="3269" ht="38" customHeight="1">
      <c r="A3269" s="18" t="inlineStr">
        <is>
          <t>Управление рисками кибербезопасности в сфере здравоохранения</t>
        </is>
      </c>
      <c r="B3269" s="19" t="n"/>
      <c r="C3269" s="19" t="n"/>
      <c r="D3269" s="19" t="n"/>
      <c r="E3269" s="19" t="n"/>
      <c r="F3269" s="19" t="n"/>
      <c r="G3269" s="19" t="n"/>
    </row>
    <row r="3270" ht="26" customHeight="1">
      <c r="A3270" s="3" t="inlineStr">
        <is>
          <t>T-ABB5DBDC · Программы: ЗИОЗ</t>
        </is>
      </c>
      <c r="B3270" s="4" t="n"/>
      <c r="C3270" s="4" t="n"/>
      <c r="D3270" s="4" t="n"/>
      <c r="E3270" s="4" t="n"/>
      <c r="F3270" s="4" t="n"/>
      <c r="G3270" s="4" t="n"/>
    </row>
    <row r="3271" ht="27" customHeight="1">
      <c r="A3271" s="20" t="inlineStr">
        <is>
          <t>Вариант для: ЗИОЗ</t>
        </is>
      </c>
      <c r="B3271" s="21" t="n"/>
      <c r="C3271" s="21" t="n"/>
      <c r="D3271" s="21" t="n"/>
      <c r="E3271" s="21" t="n"/>
      <c r="F3271" s="21" t="n"/>
      <c r="G3271" s="21" t="n"/>
    </row>
    <row r="3272" ht="80" customHeight="1">
      <c r="A3272" s="22" t="inlineStr">
        <is>
          <t>Методология управления рисками кибербезопасности в организациях здравоохранения. Этапы управления рисками кибербезопасности. Состав активов объектов информационной инфраструктуры и их категорирование. Определение ценности активов объекта информационной инфраструктуры.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оценки. Стандарты в области управления рисками кибербезопасности.</t>
        </is>
      </c>
      <c r="B3272" s="2" t="n"/>
      <c r="C3272" s="2" t="n"/>
      <c r="D3272" s="2" t="n"/>
      <c r="E3272" s="2" t="n"/>
      <c r="F3272" s="2" t="n"/>
      <c r="G3272" s="2" t="n"/>
    </row>
    <row r="3273" ht="51" customHeight="1">
      <c r="A3273" s="3" t="inlineStr">
        <is>
          <t>ЗИОЗ — Защита информационной инфраструктуры организаций здравоохранения
Раздел: Методологические основы обеспечения кибербезопасности · УТП: таблица 2, строка 10</t>
        </is>
      </c>
      <c r="B3273" s="4" t="n"/>
      <c r="C3273" s="4" t="n"/>
      <c r="D3273" s="4" t="n"/>
      <c r="E3273" s="4" t="n"/>
      <c r="F3273" s="4" t="n"/>
      <c r="G3273" s="4" t="n"/>
    </row>
    <row r="3274" ht="30" customHeight="1">
      <c r="A3274" s="3" t="inlineStr">
        <is>
          <t>В программе: Тема 2. Управление рисками кибербезопасности в сфере здравоохранения (2 часа лекции).</t>
        </is>
      </c>
      <c r="B3274" s="4" t="n"/>
      <c r="C3274" s="4" t="n"/>
      <c r="D3274" s="4" t="n"/>
      <c r="E3274" s="4" t="n"/>
      <c r="F3274" s="4" t="n"/>
      <c r="G3274" s="4" t="n"/>
    </row>
    <row r="3275" ht="25" customHeight="1">
      <c r="A3275" s="23" t="inlineStr">
        <is>
          <t>Исходная программа ЗИОЗ ↗</t>
        </is>
      </c>
      <c r="D3275" s="23" t="inlineStr">
        <is>
          <t>Исходный УТП ЗИОЗ ↗</t>
        </is>
      </c>
    </row>
    <row r="3276" ht="27" customHeight="1">
      <c r="A3276" s="24">
        <f>HYPERLINK("#'Выбор тем'!E"&amp;MATCH("T-ABB5DBDC",'Выбор тем'!$A:$A,0),"← Вернуться к теме")</f>
        <v/>
      </c>
    </row>
    <row r="3278" ht="38" customHeight="1">
      <c r="A3278" s="18" t="inlineStr">
        <is>
          <t>Управление рисками кибербезопасности, корректирующие и превентивные действия, контроль выполнения принятых мер</t>
        </is>
      </c>
      <c r="B3278" s="19" t="n"/>
      <c r="C3278" s="19" t="n"/>
      <c r="D3278" s="19" t="n"/>
      <c r="E3278" s="19" t="n"/>
      <c r="F3278" s="19" t="n"/>
      <c r="G3278" s="19" t="n"/>
    </row>
    <row r="3279" ht="26" customHeight="1">
      <c r="A3279" s="3" t="inlineStr">
        <is>
          <t>T-CBD50885 · Программы: АУРИК</t>
        </is>
      </c>
      <c r="B3279" s="4" t="n"/>
      <c r="C3279" s="4" t="n"/>
      <c r="D3279" s="4" t="n"/>
      <c r="E3279" s="4" t="n"/>
      <c r="F3279" s="4" t="n"/>
      <c r="G3279" s="4" t="n"/>
    </row>
    <row r="3280" ht="27" customHeight="1">
      <c r="A3280" s="20" t="inlineStr">
        <is>
          <t>Вариант для: АУРИК</t>
        </is>
      </c>
      <c r="B3280" s="21" t="n"/>
      <c r="C3280" s="21" t="n"/>
      <c r="D3280" s="21" t="n"/>
      <c r="E3280" s="21" t="n"/>
      <c r="F3280" s="21" t="n"/>
      <c r="G3280" s="21" t="n"/>
    </row>
    <row r="3281" ht="48" customHeight="1">
      <c r="A3281" s="22" t="inlineStr">
        <is>
          <t>Основные понятия, терминология управления рисками. Современное положение дел в области терминологии по управлению рисками. Источники информации о терминах и их определениях.</t>
        </is>
      </c>
      <c r="B3281" s="2" t="n"/>
      <c r="C3281" s="2" t="n"/>
      <c r="D3281" s="2" t="n"/>
      <c r="E3281" s="2" t="n"/>
      <c r="F3281" s="2" t="n"/>
      <c r="G3281" s="2" t="n"/>
    </row>
    <row r="3282" ht="32" customHeight="1">
      <c r="A3282" s="22" t="inlineStr">
        <is>
          <t>Цели и задачи управления рисками.</t>
        </is>
      </c>
      <c r="B3282" s="2" t="n"/>
      <c r="C3282" s="2" t="n"/>
      <c r="D3282" s="2" t="n"/>
      <c r="E3282" s="2" t="n"/>
      <c r="F3282" s="2" t="n"/>
      <c r="G3282" s="2" t="n"/>
    </row>
    <row r="3283" ht="80" customHeight="1">
      <c r="A3283" s="22" t="inlineStr">
        <is>
          <t>Состав активов информационной системы. Материальные активы (компьютерное оборудование, средства телекоммуникаций и пр.); программное обеспечение; информационные ресурсы (базы и файлы данных, контракты и соглашения, системная документация, научно-исследовательская информация, документация, обучающие материалы и пр.); технологии, технологические процессы; сервисы (сервисы телекоммуникаций, системы обеспечения жизнедеятельности и др.); сотрудники организации, их квалификация и опыт; нематериальные ресурсы (репутация и имидж).</t>
        </is>
      </c>
      <c r="B3283" s="2" t="n"/>
      <c r="C3283" s="2" t="n"/>
      <c r="D3283" s="2" t="n"/>
      <c r="E3283" s="2" t="n"/>
      <c r="F3283" s="2" t="n"/>
      <c r="G3283" s="2" t="n"/>
    </row>
    <row r="3284" ht="48" customHeight="1">
      <c r="A3284" s="22" t="inlineStr">
        <is>
          <t>Категорирование информационных ресурсов. Оценка важности, ценности активов. Свойства безопасности активов: доступность, целостность и подлинность, конфиденциальность. Оценка степени тяжести последствий утраты свойств безопасности (ущерба).</t>
        </is>
      </c>
      <c r="B3284" s="2" t="n"/>
      <c r="C3284" s="2" t="n"/>
      <c r="D3284" s="2" t="n"/>
      <c r="E3284" s="2" t="n"/>
      <c r="F3284" s="2" t="n"/>
      <c r="G3284" s="2" t="n"/>
    </row>
    <row r="3285" ht="32" customHeight="1">
      <c r="A3285" s="22" t="inlineStr">
        <is>
          <t>Подходы к управлению. Принятие риска. Уклонение от риска. Ограничение (уменьшение) риска. Переадресация риска.</t>
        </is>
      </c>
      <c r="B3285" s="2" t="n"/>
      <c r="C3285" s="2" t="n"/>
      <c r="D3285" s="2" t="n"/>
      <c r="E3285" s="2" t="n"/>
      <c r="F3285" s="2" t="n"/>
      <c r="G3285" s="2" t="n"/>
    </row>
    <row r="3286" ht="48" customHeight="1">
      <c r="A3286" s="22" t="inlineStr">
        <is>
          <t>Методы снижения рисков. Основные группы мер, позволяющих снизить риски: правовые; экономические; организационные; инженерно-технические; технические; программно-аппаратные.</t>
        </is>
      </c>
      <c r="B3286" s="2" t="n"/>
      <c r="C3286" s="2" t="n"/>
      <c r="D3286" s="2" t="n"/>
      <c r="E3286" s="2" t="n"/>
      <c r="F3286" s="2" t="n"/>
      <c r="G3286" s="2" t="n"/>
    </row>
    <row r="3287" ht="32" customHeight="1">
      <c r="A3287" s="22" t="inlineStr">
        <is>
          <t>Планирование мер реагирования на риски. Превентивные меры. Восстановительные меры.</t>
        </is>
      </c>
      <c r="B3287" s="2" t="n"/>
      <c r="C3287" s="2" t="n"/>
      <c r="D3287" s="2" t="n"/>
      <c r="E3287" s="2" t="n"/>
      <c r="F3287" s="2" t="n"/>
      <c r="G3287" s="2" t="n"/>
    </row>
    <row r="3288" ht="48" customHeight="1">
      <c r="A3288" s="22" t="inlineStr">
        <is>
          <t>План реализации контрмер. Рекомендованные контрмеры. Приоритеты действий. Требуемые ресурсы. Ответственные лица. Временные рамки начала и завершения работ.</t>
        </is>
      </c>
      <c r="B3288" s="2" t="n"/>
      <c r="C3288" s="2" t="n"/>
      <c r="D3288" s="2" t="n"/>
      <c r="E3288" s="2" t="n"/>
      <c r="F3288" s="2" t="n"/>
      <c r="G3288" s="2" t="n"/>
    </row>
    <row r="3289" ht="48" customHeight="1">
      <c r="A3289" s="22" t="inlineStr">
        <is>
          <t>Мониторинг и контроль выполнения мер по снижению рисков. Отслеживание изменений внешних или внутренних условий. Пересмотр оценок рисков. Корректировка планов реализации контрмер.</t>
        </is>
      </c>
      <c r="B3289" s="2" t="n"/>
      <c r="C3289" s="2" t="n"/>
      <c r="D3289" s="2" t="n"/>
      <c r="E3289" s="2" t="n"/>
      <c r="F3289" s="2" t="n"/>
      <c r="G3289" s="2" t="n"/>
    </row>
    <row r="3290" ht="80" customHeight="1">
      <c r="A3290" s="22" t="inlineStr">
        <is>
          <t>Процессный подход к управлению рисками. Поддержка всех процессов управления рисками (планирование управления рисками, идентификация, анализ, планирование реагирования, мониторинг и контроль). Поддержка анализа всех составляющих риска (стоимостной, временной, ресурсной). Поддержка различных методов расчета и моделирования. Использование графических возможностей и автоматической генерации отчетов. Документирование и поддержка баз данных по рискам.</t>
        </is>
      </c>
      <c r="B3290" s="2" t="n"/>
      <c r="C3290" s="2" t="n"/>
      <c r="D3290" s="2" t="n"/>
      <c r="E3290" s="2" t="n"/>
      <c r="F3290" s="2" t="n"/>
      <c r="G3290" s="2" t="n"/>
    </row>
    <row r="3291" ht="48" customHeight="1">
      <c r="A3291" s="22" t="inlineStr">
        <is>
          <t>Роли и ответственность в процессе управления рисками. Владельцы активов. Администраторы кибербезопасности. Роль высшего руководства организации в процессе управления рисками.</t>
        </is>
      </c>
      <c r="B3291" s="2" t="n"/>
      <c r="C3291" s="2" t="n"/>
      <c r="D3291" s="2" t="n"/>
      <c r="E3291" s="2" t="n"/>
      <c r="F3291" s="2" t="n"/>
      <c r="G3291" s="2" t="n"/>
    </row>
    <row r="3292" ht="51" customHeight="1">
      <c r="A3292" s="3" t="inlineStr">
        <is>
          <t>АУРИК — Аудит, управление рисками и инцидентами кибербезопасности
Раздел: Управление рисками кибербезопасности · УТП: таблица 2, строка 15</t>
        </is>
      </c>
      <c r="B3292" s="4" t="n"/>
      <c r="C3292" s="4" t="n"/>
      <c r="D3292" s="4" t="n"/>
      <c r="E3292" s="4" t="n"/>
      <c r="F3292" s="4" t="n"/>
      <c r="G3292" s="4" t="n"/>
    </row>
    <row r="3293" ht="46" customHeight="1">
      <c r="A3293" s="3" t="inlineStr">
        <is>
          <t>В программе: Тема 1. Управление рисками кибербезопасности, корректирующие и превентивные действия, контроль выполнения принятых мер (6 часов лекции, 2 часа круглый стол).</t>
        </is>
      </c>
      <c r="B3293" s="4" t="n"/>
      <c r="C3293" s="4" t="n"/>
      <c r="D3293" s="4" t="n"/>
      <c r="E3293" s="4" t="n"/>
      <c r="F3293" s="4" t="n"/>
      <c r="G3293" s="4" t="n"/>
    </row>
    <row r="3294" ht="25" customHeight="1">
      <c r="A3294" s="23" t="inlineStr">
        <is>
          <t>Исходная программа АУРИК ↗</t>
        </is>
      </c>
      <c r="D3294" s="23" t="inlineStr">
        <is>
          <t>Исходный УТП АУРИК ↗</t>
        </is>
      </c>
    </row>
    <row r="3295" ht="27" customHeight="1">
      <c r="A3295" s="24">
        <f>HYPERLINK("#'Выбор тем'!E"&amp;MATCH("T-CBD50885",'Выбор тем'!$A:$A,0),"← Вернуться к теме")</f>
        <v/>
      </c>
    </row>
    <row r="3297" ht="38" customHeight="1">
      <c r="A3297" s="18" t="inlineStr">
        <is>
          <t>Управление рисками кибербезопасности на критически важных объектах информатизации</t>
        </is>
      </c>
      <c r="B3297" s="19" t="n"/>
      <c r="C3297" s="19" t="n"/>
      <c r="D3297" s="19" t="n"/>
      <c r="E3297" s="19" t="n"/>
      <c r="F3297" s="19" t="n"/>
      <c r="G3297" s="19" t="n"/>
    </row>
    <row r="3298" ht="26" customHeight="1">
      <c r="A3298" s="3" t="inlineStr">
        <is>
          <t>T-195D56B5 · Программы: КВОИ</t>
        </is>
      </c>
      <c r="B3298" s="4" t="n"/>
      <c r="C3298" s="4" t="n"/>
      <c r="D3298" s="4" t="n"/>
      <c r="E3298" s="4" t="n"/>
      <c r="F3298" s="4" t="n"/>
      <c r="G3298" s="4" t="n"/>
    </row>
    <row r="3299" ht="27" customHeight="1">
      <c r="A3299" s="20" t="inlineStr">
        <is>
          <t>Вариант для: КВОИ</t>
        </is>
      </c>
      <c r="B3299" s="21" t="n"/>
      <c r="C3299" s="21" t="n"/>
      <c r="D3299" s="21" t="n"/>
      <c r="E3299" s="21" t="n"/>
      <c r="F3299" s="21" t="n"/>
      <c r="G3299" s="21" t="n"/>
    </row>
    <row r="3300" ht="80" customHeight="1">
      <c r="A3300" s="22" t="inlineStr">
        <is>
          <t>Методология управления рисками кибербезопасности на КВОИ. Этапы управления рисками кибербезопасности. Состав активов КВОИ. Определение ценности активов КВОИ. Оценка потенциального ущерба в случае утраты (нарушения функционирования) актива. Вероятность реализации угроз кибербезопасности. Методы количественной и качественной оценки. Рассмотрение стандартов СТБ ISO/IEC 27005-2024, СТБ 34.101.70, NIST SP 800-30-2012 в целях выявления возможных угроз.</t>
        </is>
      </c>
      <c r="B3300" s="2" t="n"/>
      <c r="C3300" s="2" t="n"/>
      <c r="D3300" s="2" t="n"/>
      <c r="E3300" s="2" t="n"/>
      <c r="F3300" s="2" t="n"/>
      <c r="G3300" s="2" t="n"/>
    </row>
    <row r="3301" ht="32" customHeight="1">
      <c r="A3301" s="22" t="inlineStr">
        <is>
          <t>Вопросы тематической дискуссии:</t>
        </is>
      </c>
      <c r="B3301" s="2" t="n"/>
      <c r="C3301" s="2" t="n"/>
      <c r="D3301" s="2" t="n"/>
      <c r="E3301" s="2" t="n"/>
      <c r="F3301" s="2" t="n"/>
      <c r="G3301" s="2" t="n"/>
    </row>
    <row r="3302" ht="32" customHeight="1">
      <c r="A3302" s="22" t="inlineStr">
        <is>
          <t>Особенности адаптации риск-ориентированного подхода к специфике технологических процессов и непрерывности функционирования КВОИ.</t>
        </is>
      </c>
      <c r="B3302" s="2" t="n"/>
      <c r="C3302" s="2" t="n"/>
      <c r="D3302" s="2" t="n"/>
      <c r="E3302" s="2" t="n"/>
      <c r="F3302" s="2" t="n"/>
      <c r="G3302" s="2" t="n"/>
    </row>
    <row r="3303" ht="32" customHeight="1">
      <c r="A3303" s="22" t="inlineStr">
        <is>
          <t>Риски субъективности при определении критичности активов и допустимого уровня остаточного риска.</t>
        </is>
      </c>
      <c r="B3303" s="2" t="n"/>
      <c r="C3303" s="2" t="n"/>
      <c r="D3303" s="2" t="n"/>
      <c r="E3303" s="2" t="n"/>
      <c r="F3303" s="2" t="n"/>
      <c r="G3303" s="2" t="n"/>
    </row>
    <row r="3304" ht="32" customHeight="1">
      <c r="A3304" s="22" t="inlineStr">
        <is>
          <t>Практические аспекты согласования мер обработки рисков между владельцем КВОИ, техническими подразделениями и руководством организации.</t>
        </is>
      </c>
      <c r="B3304" s="2" t="n"/>
      <c r="C3304" s="2" t="n"/>
      <c r="D3304" s="2" t="n"/>
      <c r="E3304" s="2" t="n"/>
      <c r="F3304" s="2" t="n"/>
      <c r="G3304" s="2" t="n"/>
    </row>
    <row r="3305" ht="51" customHeight="1">
      <c r="A3305" s="3" t="inlineStr">
        <is>
          <t>КВОИ — Кибербезопасность критически важных объектов информатизации
Раздел: Методологические основы обеспечения кибербезопасности критически важных объектов информатизации · УТП: таблица 2, строка 10</t>
        </is>
      </c>
      <c r="B3305" s="4" t="n"/>
      <c r="C3305" s="4" t="n"/>
      <c r="D3305" s="4" t="n"/>
      <c r="E3305" s="4" t="n"/>
      <c r="F3305" s="4" t="n"/>
      <c r="G3305" s="4" t="n"/>
    </row>
    <row r="3306" ht="30" customHeight="1">
      <c r="A3306" s="3" t="inlineStr">
        <is>
          <t>В программе: Тема 2. Управление рисками кибербезопасности на критически важных объектах информатизации (1 час лекции, 1 час тематическая дискуссия).</t>
        </is>
      </c>
      <c r="B3306" s="4" t="n"/>
      <c r="C3306" s="4" t="n"/>
      <c r="D3306" s="4" t="n"/>
      <c r="E3306" s="4" t="n"/>
      <c r="F3306" s="4" t="n"/>
      <c r="G3306" s="4" t="n"/>
    </row>
    <row r="3307" ht="25" customHeight="1">
      <c r="A3307" s="23" t="inlineStr">
        <is>
          <t>Исходная программа КВОИ ↗</t>
        </is>
      </c>
      <c r="D3307" s="23" t="inlineStr">
        <is>
          <t>Исходный УТП КВОИ ↗</t>
        </is>
      </c>
    </row>
    <row r="3308" ht="27" customHeight="1">
      <c r="A3308" s="24">
        <f>HYPERLINK("#'Выбор тем'!E"&amp;MATCH("T-195D56B5",'Выбор тем'!$A:$A,0),"← Вернуться к теме")</f>
        <v/>
      </c>
    </row>
    <row r="3310" ht="38" customHeight="1">
      <c r="A3310" s="18" t="inlineStr">
        <is>
          <t>Управление рисками, уязвимостями, угрозами</t>
        </is>
      </c>
      <c r="B3310" s="19" t="n"/>
      <c r="C3310" s="19" t="n"/>
      <c r="D3310" s="19" t="n"/>
      <c r="E3310" s="19" t="n"/>
      <c r="F3310" s="19" t="n"/>
      <c r="G3310" s="19" t="n"/>
    </row>
    <row r="3311" ht="26" customHeight="1">
      <c r="A3311" s="3" t="inlineStr">
        <is>
          <t>T-7E0D748E · Программы: ОКБО</t>
        </is>
      </c>
      <c r="B3311" s="4" t="n"/>
      <c r="C3311" s="4" t="n"/>
      <c r="D3311" s="4" t="n"/>
      <c r="E3311" s="4" t="n"/>
      <c r="F3311" s="4" t="n"/>
      <c r="G3311" s="4" t="n"/>
    </row>
    <row r="3312" ht="27" customHeight="1">
      <c r="A3312" s="20" t="inlineStr">
        <is>
          <t>Вариант для: ОКБО</t>
        </is>
      </c>
      <c r="B3312" s="21" t="n"/>
      <c r="C3312" s="21" t="n"/>
      <c r="D3312" s="21" t="n"/>
      <c r="E3312" s="21" t="n"/>
      <c r="F3312" s="21" t="n"/>
      <c r="G3312" s="21" t="n"/>
    </row>
    <row r="3313" ht="64" customHeight="1">
      <c r="A3313" s="22" t="inlineStr">
        <is>
          <t>Идентификация критичных бизнес-активов и оценка рисков по вероятности и влиянию. Методы оценки: качественные и количественные, матрицы и сценарные расчёты. Управление уязвимостями. Сканирование, приоритезация с учетом CVSS и бизнес-контекста, патч-менеджмент. Моделирование угроз. STRIDE, PASTA. Сценарное моделирование атак и прогнозирование целей злоумышленников. Регламенты обработки уязвимостей и взаимодействие с поставщиками.</t>
        </is>
      </c>
      <c r="B3313" s="2" t="n"/>
      <c r="C3313" s="2" t="n"/>
      <c r="D3313" s="2" t="n"/>
      <c r="E3313" s="2" t="n"/>
      <c r="F3313" s="2" t="n"/>
      <c r="G3313" s="2" t="n"/>
    </row>
    <row r="3314" ht="51" customHeight="1">
      <c r="A3314"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16</t>
        </is>
      </c>
      <c r="B3314" s="4" t="n"/>
      <c r="C3314" s="4" t="n"/>
      <c r="D3314" s="4" t="n"/>
      <c r="E3314" s="4" t="n"/>
      <c r="F3314" s="4" t="n"/>
      <c r="G3314" s="4" t="n"/>
    </row>
    <row r="3315" ht="30" customHeight="1">
      <c r="A3315" s="3" t="inlineStr">
        <is>
          <t>В программе: Тема 3. Управление рисками, уязвимостями, угрозами (3 часа лекции).</t>
        </is>
      </c>
      <c r="B3315" s="4" t="n"/>
      <c r="C3315" s="4" t="n"/>
      <c r="D3315" s="4" t="n"/>
      <c r="E3315" s="4" t="n"/>
      <c r="F3315" s="4" t="n"/>
      <c r="G3315" s="4" t="n"/>
    </row>
    <row r="3316" ht="25" customHeight="1">
      <c r="A3316" s="23" t="inlineStr">
        <is>
          <t>Исходная программа ОКБО ↗</t>
        </is>
      </c>
      <c r="D3316" s="23" t="inlineStr">
        <is>
          <t>Исходный УТП ОКБО ↗</t>
        </is>
      </c>
    </row>
    <row r="3317" ht="27" customHeight="1">
      <c r="A3317" s="24">
        <f>HYPERLINK("#'Выбор тем'!E"&amp;MATCH("T-7E0D748E",'Выбор тем'!$A:$A,0),"← Вернуться к теме")</f>
        <v/>
      </c>
    </row>
    <row r="3319" ht="38" customHeight="1">
      <c r="A3319" s="18" t="inlineStr">
        <is>
          <t>Управление уязвимостями информационных систем</t>
        </is>
      </c>
      <c r="B3319" s="19" t="n"/>
      <c r="C3319" s="19" t="n"/>
      <c r="D3319" s="19" t="n"/>
      <c r="E3319" s="19" t="n"/>
      <c r="F3319" s="19" t="n"/>
      <c r="G3319" s="19" t="n"/>
    </row>
    <row r="3320" ht="26" customHeight="1">
      <c r="A3320" s="3" t="inlineStr">
        <is>
          <t>T-5DAB8241 · Программы: ПСАЭ</t>
        </is>
      </c>
      <c r="B3320" s="4" t="n"/>
      <c r="C3320" s="4" t="n"/>
      <c r="D3320" s="4" t="n"/>
      <c r="E3320" s="4" t="n"/>
      <c r="F3320" s="4" t="n"/>
      <c r="G3320" s="4" t="n"/>
    </row>
    <row r="3321" ht="27" customHeight="1">
      <c r="A3321" s="20" t="inlineStr">
        <is>
          <t>Вариант для: ПСАЭ</t>
        </is>
      </c>
      <c r="B3321" s="21" t="n"/>
      <c r="C3321" s="21" t="n"/>
      <c r="D3321" s="21" t="n"/>
      <c r="E3321" s="21" t="n"/>
      <c r="F3321" s="21" t="n"/>
      <c r="G3321" s="21" t="n"/>
    </row>
    <row r="3322" ht="32" customHeight="1">
      <c r="A3322" s="22" t="inlineStr">
        <is>
          <t>Классификация уязвимостей информационных систем. Стандарт CVSS. Методология поиска и устранения уязвимостей. Сканеры уязвимостей.</t>
        </is>
      </c>
      <c r="B3322" s="2" t="n"/>
      <c r="C3322" s="2" t="n"/>
      <c r="D3322" s="2" t="n"/>
      <c r="E3322" s="2" t="n"/>
      <c r="F3322" s="2" t="n"/>
      <c r="G3322" s="2" t="n"/>
    </row>
    <row r="3323" ht="51" customHeight="1">
      <c r="A3323" s="3" t="inlineStr">
        <is>
          <t>ПСАЭ — Проектирование, создание, аттестация и эксплуатация систем защиты информации
Раздел: Настройка системы защиты информации организации · УТП: таблица 2, строка 20</t>
        </is>
      </c>
      <c r="B3323" s="4" t="n"/>
      <c r="C3323" s="4" t="n"/>
      <c r="D3323" s="4" t="n"/>
      <c r="E3323" s="4" t="n"/>
      <c r="F3323" s="4" t="n"/>
      <c r="G3323" s="4" t="n"/>
    </row>
    <row r="3324" ht="30" customHeight="1">
      <c r="A3324" s="3" t="inlineStr">
        <is>
          <t>В программе: Тема 4. Управление уязвимостями информационных систем (4 часа лекции).</t>
        </is>
      </c>
      <c r="B3324" s="4" t="n"/>
      <c r="C3324" s="4" t="n"/>
      <c r="D3324" s="4" t="n"/>
      <c r="E3324" s="4" t="n"/>
      <c r="F3324" s="4" t="n"/>
      <c r="G3324" s="4" t="n"/>
    </row>
    <row r="3325" ht="25" customHeight="1">
      <c r="A3325" s="23" t="inlineStr">
        <is>
          <t>Исходная программа ПСАЭ ↗</t>
        </is>
      </c>
      <c r="D3325" s="23" t="inlineStr">
        <is>
          <t>Исходный УТП ПСАЭ ↗</t>
        </is>
      </c>
    </row>
    <row r="3326" ht="27" customHeight="1">
      <c r="A3326" s="24">
        <f>HYPERLINK("#'Выбор тем'!E"&amp;MATCH("T-5DAB8241",'Выбор тем'!$A:$A,0),"← Вернуться к теме")</f>
        <v/>
      </c>
    </row>
    <row r="3328" ht="38" customHeight="1">
      <c r="A3328" s="18" t="inlineStr">
        <is>
          <t>Уязвимости DHCP и DNS протоколов</t>
        </is>
      </c>
      <c r="B3328" s="19" t="n"/>
      <c r="C3328" s="19" t="n"/>
      <c r="D3328" s="19" t="n"/>
      <c r="E3328" s="19" t="n"/>
      <c r="F3328" s="19" t="n"/>
      <c r="G3328" s="19" t="n"/>
    </row>
    <row r="3329" ht="26" customHeight="1">
      <c r="A3329" s="3" t="inlineStr">
        <is>
          <t>T-F5496B09 · Программы: ТК</t>
        </is>
      </c>
      <c r="B3329" s="4" t="n"/>
      <c r="C3329" s="4" t="n"/>
      <c r="D3329" s="4" t="n"/>
      <c r="E3329" s="4" t="n"/>
      <c r="F3329" s="4" t="n"/>
      <c r="G3329" s="4" t="n"/>
    </row>
    <row r="3330" ht="27" customHeight="1">
      <c r="A3330" s="20" t="inlineStr">
        <is>
          <t>Вариант для: ТК</t>
        </is>
      </c>
      <c r="B3330" s="21" t="n"/>
      <c r="C3330" s="21" t="n"/>
      <c r="D3330" s="21" t="n"/>
      <c r="E3330" s="21" t="n"/>
      <c r="F3330" s="21" t="n"/>
      <c r="G3330" s="21" t="n"/>
    </row>
    <row r="3331" ht="48" customHeight="1">
      <c r="A3331" s="22" t="inlineStr">
        <is>
          <t>Принципы работы DHCP и DNS протоколов, их уязвимости. Последовательность действий при реализации атаки DHCP starvation. Функция DHCP snooping. Конфигурация функции DHCP snooping. Виды атак на DNS-сервера. Протокол DNSSEC.</t>
        </is>
      </c>
      <c r="B3331" s="2" t="n"/>
      <c r="C3331" s="2" t="n"/>
      <c r="D3331" s="2" t="n"/>
      <c r="E3331" s="2" t="n"/>
      <c r="F3331" s="2" t="n"/>
      <c r="G3331" s="2" t="n"/>
    </row>
    <row r="3332" ht="51" customHeight="1">
      <c r="A3332"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15</t>
        </is>
      </c>
      <c r="B3332" s="4" t="n"/>
      <c r="C3332" s="4" t="n"/>
      <c r="D3332" s="4" t="n"/>
      <c r="E3332" s="4" t="n"/>
      <c r="F3332" s="4" t="n"/>
      <c r="G3332" s="4" t="n"/>
    </row>
    <row r="3333" ht="30" customHeight="1">
      <c r="A3333" s="3" t="inlineStr">
        <is>
          <t>В программе: Тема 3. Уязвимости DHCP и DNS протоколов (2 часа лабораторные занятия).</t>
        </is>
      </c>
      <c r="B3333" s="4" t="n"/>
      <c r="C3333" s="4" t="n"/>
      <c r="D3333" s="4" t="n"/>
      <c r="E3333" s="4" t="n"/>
      <c r="F3333" s="4" t="n"/>
      <c r="G3333" s="4" t="n"/>
    </row>
    <row r="3334" ht="25" customHeight="1">
      <c r="A3334" s="23" t="inlineStr">
        <is>
          <t>Исходная программа ТК ↗</t>
        </is>
      </c>
      <c r="D3334" s="23" t="inlineStr">
        <is>
          <t>Исходный УТП ТК ↗</t>
        </is>
      </c>
    </row>
    <row r="3335" ht="27" customHeight="1">
      <c r="A3335" s="24">
        <f>HYPERLINK("#'Выбор тем'!E"&amp;MATCH("T-F5496B09",'Выбор тем'!$A:$A,0),"← Вернуться к теме")</f>
        <v/>
      </c>
    </row>
    <row r="3337" ht="38" customHeight="1">
      <c r="A3337" s="18" t="inlineStr">
        <is>
          <t>Уязвимости виртуальных локальных сетей</t>
        </is>
      </c>
      <c r="B3337" s="19" t="n"/>
      <c r="C3337" s="19" t="n"/>
      <c r="D3337" s="19" t="n"/>
      <c r="E3337" s="19" t="n"/>
      <c r="F3337" s="19" t="n"/>
      <c r="G3337" s="19" t="n"/>
    </row>
    <row r="3338" ht="26" customHeight="1">
      <c r="A3338" s="3" t="inlineStr">
        <is>
          <t>T-1CEFEBB1 · Программы: ТК</t>
        </is>
      </c>
      <c r="B3338" s="4" t="n"/>
      <c r="C3338" s="4" t="n"/>
      <c r="D3338" s="4" t="n"/>
      <c r="E3338" s="4" t="n"/>
      <c r="F3338" s="4" t="n"/>
      <c r="G3338" s="4" t="n"/>
    </row>
    <row r="3339" ht="27" customHeight="1">
      <c r="A3339" s="20" t="inlineStr">
        <is>
          <t>Вариант для: ТК</t>
        </is>
      </c>
      <c r="B3339" s="21" t="n"/>
      <c r="C3339" s="21" t="n"/>
      <c r="D3339" s="21" t="n"/>
      <c r="E3339" s="21" t="n"/>
      <c r="F3339" s="21" t="n"/>
      <c r="G3339" s="21" t="n"/>
    </row>
    <row r="3340" ht="80" customHeight="1">
      <c r="A3340" s="22" t="inlineStr">
        <is>
          <t>Преимущества виртуальных локальных сетей (VLAN). Процесс передачи кадра в сети с протоколом 802.1Q. Уязвимости процесса передачи кадра в виртуальных локальных сетях. Процесс согласования портов коммутаторов в виртуальных локальных сетях. Уязвимости данного процесса. Протокол VTP, преимущества, недостатки. Роли коммутаторов по протоколу VTP. Настройка протокола VTP на коммутаторе. Типы сообщений протокола VTP. Способы защиты виртуальных локальных сетей.</t>
        </is>
      </c>
      <c r="B3340" s="2" t="n"/>
      <c r="C3340" s="2" t="n"/>
      <c r="D3340" s="2" t="n"/>
      <c r="E3340" s="2" t="n"/>
      <c r="F3340" s="2" t="n"/>
      <c r="G3340" s="2" t="n"/>
    </row>
    <row r="3341" ht="51" customHeight="1">
      <c r="A3341" s="3" t="inlineStr">
        <is>
          <t>ТК — Технологии кибербезопасности: от spoofing-атак до VPN и межсетевых экранов
Раздел: Практические аспекты обеспечения кибербезопасности корпоративных систем · УТП: таблица 2, строка 16</t>
        </is>
      </c>
      <c r="B3341" s="4" t="n"/>
      <c r="C3341" s="4" t="n"/>
      <c r="D3341" s="4" t="n"/>
      <c r="E3341" s="4" t="n"/>
      <c r="F3341" s="4" t="n"/>
      <c r="G3341" s="4" t="n"/>
    </row>
    <row r="3342" ht="30" customHeight="1">
      <c r="A3342" s="3" t="inlineStr">
        <is>
          <t>В программе: Тема 4. Уязвимости виртуальных локальных сетей (2 часа лабораторные занятия).</t>
        </is>
      </c>
      <c r="B3342" s="4" t="n"/>
      <c r="C3342" s="4" t="n"/>
      <c r="D3342" s="4" t="n"/>
      <c r="E3342" s="4" t="n"/>
      <c r="F3342" s="4" t="n"/>
      <c r="G3342" s="4" t="n"/>
    </row>
    <row r="3343" ht="25" customHeight="1">
      <c r="A3343" s="23" t="inlineStr">
        <is>
          <t>Исходная программа ТК ↗</t>
        </is>
      </c>
      <c r="D3343" s="23" t="inlineStr">
        <is>
          <t>Исходный УТП ТК ↗</t>
        </is>
      </c>
    </row>
    <row r="3344" ht="27" customHeight="1">
      <c r="A3344" s="24">
        <f>HYPERLINK("#'Выбор тем'!E"&amp;MATCH("T-1CEFEBB1",'Выбор тем'!$A:$A,0),"← Вернуться к теме")</f>
        <v/>
      </c>
    </row>
    <row r="3346" ht="38" customHeight="1">
      <c r="A3346" s="18" t="inlineStr">
        <is>
          <t>Уязвимости объектов информационной инфраструктуры</t>
        </is>
      </c>
      <c r="B3346" s="19" t="n"/>
      <c r="C3346" s="19" t="n"/>
      <c r="D3346" s="19" t="n"/>
      <c r="E3346" s="19" t="n"/>
      <c r="F3346" s="19" t="n"/>
      <c r="G3346" s="19" t="n"/>
    </row>
    <row r="3347" ht="26" customHeight="1">
      <c r="A3347" s="3" t="inlineStr">
        <is>
          <t>T-17A5CA4D · Программы: ОПКС</t>
        </is>
      </c>
      <c r="B3347" s="4" t="n"/>
      <c r="C3347" s="4" t="n"/>
      <c r="D3347" s="4" t="n"/>
      <c r="E3347" s="4" t="n"/>
      <c r="F3347" s="4" t="n"/>
      <c r="G3347" s="4" t="n"/>
    </row>
    <row r="3348" ht="27" customHeight="1">
      <c r="A3348" s="20" t="inlineStr">
        <is>
          <t>Вариант для: ОПКС</t>
        </is>
      </c>
      <c r="B3348" s="21" t="n"/>
      <c r="C3348" s="21" t="n"/>
      <c r="D3348" s="21" t="n"/>
      <c r="E3348" s="21" t="n"/>
      <c r="F3348" s="21" t="n"/>
      <c r="G3348" s="21" t="n"/>
    </row>
    <row r="3349" ht="48" customHeight="1">
      <c r="A3349" s="22" t="inlineStr">
        <is>
          <t>Классификация уязвимостей информационных систем. Система оценки уязвимостей CVSS 3.0. Уязвимости приложений. OWASP TOP 10. Средства обнаружения уязвимостей. Управление уязвимостями.</t>
        </is>
      </c>
      <c r="B3349" s="2" t="n"/>
      <c r="C3349" s="2" t="n"/>
      <c r="D3349" s="2" t="n"/>
      <c r="E3349" s="2" t="n"/>
      <c r="F3349" s="2" t="n"/>
      <c r="G3349" s="2" t="n"/>
    </row>
    <row r="3350" ht="51" customHeight="1">
      <c r="A3350" s="3" t="inlineStr">
        <is>
          <t>ОПКС — Основы построения компьютерных сетей и обеспечения кибербезопасности
Раздел: Основы обеспечения кибербезопасности · УТП: таблица 2, строка 21</t>
        </is>
      </c>
      <c r="B3350" s="4" t="n"/>
      <c r="C3350" s="4" t="n"/>
      <c r="D3350" s="4" t="n"/>
      <c r="E3350" s="4" t="n"/>
      <c r="F3350" s="4" t="n"/>
      <c r="G3350" s="4" t="n"/>
    </row>
    <row r="3351" ht="30" customHeight="1">
      <c r="A3351" s="3" t="inlineStr">
        <is>
          <t>В программе: Тема 4. Уязвимости объектов информационной инфраструктуры (2 часа лекции, 4 часа практические занятия, 2 часа лабораторные занятия).</t>
        </is>
      </c>
      <c r="B3351" s="4" t="n"/>
      <c r="C3351" s="4" t="n"/>
      <c r="D3351" s="4" t="n"/>
      <c r="E3351" s="4" t="n"/>
      <c r="F3351" s="4" t="n"/>
      <c r="G3351" s="4" t="n"/>
    </row>
    <row r="3352" ht="25" customHeight="1">
      <c r="A3352" s="23" t="inlineStr">
        <is>
          <t>Исходная программа ОПКС ↗</t>
        </is>
      </c>
      <c r="D3352" s="23" t="inlineStr">
        <is>
          <t>Исходный УТП ОПКС ↗</t>
        </is>
      </c>
    </row>
    <row r="3353" ht="27" customHeight="1">
      <c r="A3353" s="24">
        <f>HYPERLINK("#'Выбор тем'!E"&amp;MATCH("T-17A5CA4D",'Выбор тем'!$A:$A,0),"← Вернуться к теме")</f>
        <v/>
      </c>
    </row>
    <row r="3355" ht="38" customHeight="1">
      <c r="A3355" s="18" t="inlineStr">
        <is>
          <t>Уязвимости объектов информационной инфраструктуры и их активов</t>
        </is>
      </c>
      <c r="B3355" s="19" t="n"/>
      <c r="C3355" s="19" t="n"/>
      <c r="D3355" s="19" t="n"/>
      <c r="E3355" s="19" t="n"/>
      <c r="F3355" s="19" t="n"/>
      <c r="G3355" s="19" t="n"/>
    </row>
    <row r="3356" ht="26" customHeight="1">
      <c r="A3356" s="3" t="inlineStr">
        <is>
          <t>T-B5070575 · Программы: КО, ОКМ</t>
        </is>
      </c>
      <c r="B3356" s="4" t="n"/>
      <c r="C3356" s="4" t="n"/>
      <c r="D3356" s="4" t="n"/>
      <c r="E3356" s="4" t="n"/>
      <c r="F3356" s="4" t="n"/>
      <c r="G3356" s="4" t="n"/>
    </row>
    <row r="3357" ht="27" customHeight="1">
      <c r="A3357" s="20" t="inlineStr">
        <is>
          <t>Вариант для: КО</t>
        </is>
      </c>
      <c r="B3357" s="21" t="n"/>
      <c r="C3357" s="21" t="n"/>
      <c r="D3357" s="21" t="n"/>
      <c r="E3357" s="21" t="n"/>
      <c r="F3357" s="21" t="n"/>
      <c r="G3357" s="21" t="n"/>
    </row>
    <row r="3358" ht="48" customHeight="1">
      <c r="A3358" s="22" t="inlineStr">
        <is>
          <t>Основные понятия. Общая характеристика уязвимостей информационной системы. Классификация и оценка уязвимостей и угроз. Стандарт CVSS, метрики в CVSS, классификация эксплойтов.</t>
        </is>
      </c>
      <c r="B3358" s="2" t="n"/>
      <c r="C3358" s="2" t="n"/>
      <c r="D3358" s="2" t="n"/>
      <c r="E3358" s="2" t="n"/>
      <c r="F3358" s="2" t="n"/>
      <c r="G3358" s="2" t="n"/>
    </row>
    <row r="3359" ht="51" customHeight="1">
      <c r="A3359" s="3" t="inlineStr">
        <is>
          <t>КО — Кибербезопасность государственных и иных организаций
Раздел: Меры по обеспечению кибербезопасности. · УТП: таблица 2, строка 15</t>
        </is>
      </c>
      <c r="B3359" s="4" t="n"/>
      <c r="C3359" s="4" t="n"/>
      <c r="D3359" s="4" t="n"/>
      <c r="E3359" s="4" t="n"/>
      <c r="F3359" s="4" t="n"/>
      <c r="G3359" s="4" t="n"/>
    </row>
    <row r="3360" ht="30" customHeight="1">
      <c r="A3360" s="3" t="inlineStr">
        <is>
          <t>В программе: Тема 3. Уязвимости объектов информационной инфраструктуры и их активов (8 часов практические занятия).</t>
        </is>
      </c>
      <c r="B3360" s="4" t="n"/>
      <c r="C3360" s="4" t="n"/>
      <c r="D3360" s="4" t="n"/>
      <c r="E3360" s="4" t="n"/>
      <c r="F3360" s="4" t="n"/>
      <c r="G3360" s="4" t="n"/>
    </row>
    <row r="3361" ht="25" customHeight="1">
      <c r="A3361" s="23" t="inlineStr">
        <is>
          <t>Исходная программа КО ↗</t>
        </is>
      </c>
      <c r="D3361" s="23" t="inlineStr">
        <is>
          <t>Исходный УТП КО ↗</t>
        </is>
      </c>
    </row>
    <row r="3362" ht="27" customHeight="1">
      <c r="A3362" s="20" t="inlineStr">
        <is>
          <t>Вариант для: ОКМ</t>
        </is>
      </c>
      <c r="B3362" s="21" t="n"/>
      <c r="C3362" s="21" t="n"/>
      <c r="D3362" s="21" t="n"/>
      <c r="E3362" s="21" t="n"/>
      <c r="F3362" s="21" t="n"/>
      <c r="G3362" s="21" t="n"/>
    </row>
    <row r="3363" ht="48" customHeight="1">
      <c r="A3363" s="22" t="inlineStr">
        <is>
          <t>Классификация уязвимостей информационных систем. Система оценки уязвимостей CVSS 3.0. Уязвимости приложений. OWASPTOP 10. Средства обнаружения уязвимостей. Управление уязвимостями.</t>
        </is>
      </c>
      <c r="B3363" s="2" t="n"/>
      <c r="C3363" s="2" t="n"/>
      <c r="D3363" s="2" t="n"/>
      <c r="E3363" s="2" t="n"/>
      <c r="F3363" s="2" t="n"/>
      <c r="G3363" s="2" t="n"/>
    </row>
    <row r="3364" ht="51" customHeight="1">
      <c r="A3364" s="3" t="inlineStr">
        <is>
          <t>ОКМ — Основы обеспечения кибербезопасности. маршрутизация. IPv4- и IPv6-адресация
Раздел: Основы обеспечения кибербезопасности. Законодательство в области обеспечения кибербезопасности · УТП: таблица 2, строка 9</t>
        </is>
      </c>
      <c r="B3364" s="4" t="n"/>
      <c r="C3364" s="4" t="n"/>
      <c r="D3364" s="4" t="n"/>
      <c r="E3364" s="4" t="n"/>
      <c r="F3364" s="4" t="n"/>
      <c r="G3364" s="4" t="n"/>
    </row>
    <row r="3365" ht="30" customHeight="1">
      <c r="A3365" s="3" t="inlineStr">
        <is>
          <t>В программе: Тема 4. Уязвимости объектов информационной инфраструктуры и их активов (4 часа лекции, 4 часа практические занятия, 2 часа лабораторные занятия).</t>
        </is>
      </c>
      <c r="B3365" s="4" t="n"/>
      <c r="C3365" s="4" t="n"/>
      <c r="D3365" s="4" t="n"/>
      <c r="E3365" s="4" t="n"/>
      <c r="F3365" s="4" t="n"/>
      <c r="G3365" s="4" t="n"/>
    </row>
    <row r="3366" ht="25" customHeight="1">
      <c r="A3366" s="23" t="inlineStr">
        <is>
          <t>Исходная программа ОКМ ↗</t>
        </is>
      </c>
      <c r="D3366" s="23" t="inlineStr">
        <is>
          <t>Исходный УТП ОКМ ↗</t>
        </is>
      </c>
    </row>
    <row r="3367" ht="27" customHeight="1">
      <c r="A3367" s="24">
        <f>HYPERLINK("#'Выбор тем'!E"&amp;MATCH("T-B5070575",'Выбор тем'!$A:$A,0),"← Вернуться к теме")</f>
        <v/>
      </c>
    </row>
    <row r="3369" ht="38" customHeight="1">
      <c r="A3369" s="18" t="inlineStr">
        <is>
          <t>Физическая инфраструктура: коммутаторы, концентраторы, кабельные среды</t>
        </is>
      </c>
      <c r="B3369" s="19" t="n"/>
      <c r="C3369" s="19" t="n"/>
      <c r="D3369" s="19" t="n"/>
      <c r="E3369" s="19" t="n"/>
      <c r="F3369" s="19" t="n"/>
      <c r="G3369" s="19" t="n"/>
    </row>
    <row r="3370" ht="26" customHeight="1">
      <c r="A3370" s="3" t="inlineStr">
        <is>
          <t>T-1878B180 · Программы: ОПКС</t>
        </is>
      </c>
      <c r="B3370" s="4" t="n"/>
      <c r="C3370" s="4" t="n"/>
      <c r="D3370" s="4" t="n"/>
      <c r="E3370" s="4" t="n"/>
      <c r="F3370" s="4" t="n"/>
      <c r="G3370" s="4" t="n"/>
    </row>
    <row r="3371" ht="27" customHeight="1">
      <c r="A3371" s="20" t="inlineStr">
        <is>
          <t>Вариант для: ОПКС</t>
        </is>
      </c>
      <c r="B3371" s="21" t="n"/>
      <c r="C3371" s="21" t="n"/>
      <c r="D3371" s="21" t="n"/>
      <c r="E3371" s="21" t="n"/>
      <c r="F3371" s="21" t="n"/>
      <c r="G3371" s="21" t="n"/>
    </row>
    <row r="3372" ht="48" customHeight="1">
      <c r="A3372" s="22" t="inlineStr">
        <is>
          <t>Принцип работы коммутатора, его отличие от концентратора. Параметры коммутатора. Содержание таблицы MAC-адресов. Коммутаторы третьего уровня (L3). Консольное подключение к сетевому оборудованию. Протоколы TELNET и SSH.</t>
        </is>
      </c>
      <c r="B3372" s="2" t="n"/>
      <c r="C3372" s="2" t="n"/>
      <c r="D3372" s="2" t="n"/>
      <c r="E3372" s="2" t="n"/>
      <c r="F3372" s="2" t="n"/>
      <c r="G3372" s="2" t="n"/>
    </row>
    <row r="3373" ht="51" customHeight="1">
      <c r="A3373" s="3" t="inlineStr">
        <is>
          <t>ОПКС — Основы построения компьютерных сетей и обеспечения кибербезопасности
Раздел: Основы построения компьютерных сетей · УТП: таблица 2, строка 7</t>
        </is>
      </c>
      <c r="B3373" s="4" t="n"/>
      <c r="C3373" s="4" t="n"/>
      <c r="D3373" s="4" t="n"/>
      <c r="E3373" s="4" t="n"/>
      <c r="F3373" s="4" t="n"/>
      <c r="G3373" s="4" t="n"/>
    </row>
    <row r="3374" ht="30" customHeight="1">
      <c r="A3374" s="3" t="inlineStr">
        <is>
          <t>В программе: Тема 2. Физическая инфраструктура: коммутаторы, концентраторы, кабельные среды (2 часа лабораторные занятия).</t>
        </is>
      </c>
      <c r="B3374" s="4" t="n"/>
      <c r="C3374" s="4" t="n"/>
      <c r="D3374" s="4" t="n"/>
      <c r="E3374" s="4" t="n"/>
      <c r="F3374" s="4" t="n"/>
      <c r="G3374" s="4" t="n"/>
    </row>
    <row r="3375" ht="25" customHeight="1">
      <c r="A3375" s="23" t="inlineStr">
        <is>
          <t>Исходная программа ОПКС ↗</t>
        </is>
      </c>
      <c r="D3375" s="23" t="inlineStr">
        <is>
          <t>Исходный УТП ОПКС ↗</t>
        </is>
      </c>
    </row>
    <row r="3376" ht="27" customHeight="1">
      <c r="A3376" s="24">
        <f>HYPERLINK("#'Выбор тем'!E"&amp;MATCH("T-1878B180",'Выбор тем'!$A:$A,0),"← Вернуться к теме")</f>
        <v/>
      </c>
    </row>
    <row r="3378" ht="38" customHeight="1">
      <c r="A3378" s="18" t="inlineStr">
        <is>
          <t>Цели и задачи SOAR, отличия от SIEM и взаимодействие с ним, роль автоматизации</t>
        </is>
      </c>
      <c r="B3378" s="19" t="n"/>
      <c r="C3378" s="19" t="n"/>
      <c r="D3378" s="19" t="n"/>
      <c r="E3378" s="19" t="n"/>
      <c r="F3378" s="19" t="n"/>
      <c r="G3378" s="19" t="n"/>
    </row>
    <row r="3379" ht="26" customHeight="1">
      <c r="A3379" s="3" t="inlineStr">
        <is>
          <t>T-9F71AF66 · Программы: ОКБО</t>
        </is>
      </c>
      <c r="B3379" s="4" t="n"/>
      <c r="C3379" s="4" t="n"/>
      <c r="D3379" s="4" t="n"/>
      <c r="E3379" s="4" t="n"/>
      <c r="F3379" s="4" t="n"/>
      <c r="G3379" s="4" t="n"/>
    </row>
    <row r="3380" ht="27" customHeight="1">
      <c r="A3380" s="20" t="inlineStr">
        <is>
          <t>Вариант для: ОКБО</t>
        </is>
      </c>
      <c r="B3380" s="21" t="n"/>
      <c r="C3380" s="21" t="n"/>
      <c r="D3380" s="21" t="n"/>
      <c r="E3380" s="21" t="n"/>
      <c r="F3380" s="21" t="n"/>
      <c r="G3380" s="21" t="n"/>
    </row>
    <row r="3381" ht="48" customHeight="1">
      <c r="A3381" s="22" t="inlineStr">
        <is>
          <t>Назначение и цели SOAR. Отличия от SIEM, интеграция. Автоматизация реагирования. Создание плейбука для обработки фишинга. Метрики эффективности автоматизации и контроль безопасности автоматических действий.</t>
        </is>
      </c>
      <c r="B3381" s="2" t="n"/>
      <c r="C3381" s="2" t="n"/>
      <c r="D3381" s="2" t="n"/>
      <c r="E3381" s="2" t="n"/>
      <c r="F3381" s="2" t="n"/>
      <c r="G3381" s="2" t="n"/>
    </row>
    <row r="3382" ht="51" customHeight="1">
      <c r="A3382" s="3" t="inlineStr">
        <is>
          <t>ОКБО — Обеспечение кибербезопасности организаций
Раздел: SOAR, TIP, XDR- Автоматизация реагирования · УТП: таблица 2, строка 35</t>
        </is>
      </c>
      <c r="B3382" s="4" t="n"/>
      <c r="C3382" s="4" t="n"/>
      <c r="D3382" s="4" t="n"/>
      <c r="E3382" s="4" t="n"/>
      <c r="F3382" s="4" t="n"/>
      <c r="G3382" s="4" t="n"/>
    </row>
    <row r="3383" ht="30" customHeight="1">
      <c r="A3383" s="3" t="inlineStr">
        <is>
          <t>В программе: Тема 1. Цели и задачи SOAR, отличия от SIEM и взаимодействие с ним, роль автоматизации (2 часа лекции, 2 часа практические занятия).</t>
        </is>
      </c>
      <c r="B3383" s="4" t="n"/>
      <c r="C3383" s="4" t="n"/>
      <c r="D3383" s="4" t="n"/>
      <c r="E3383" s="4" t="n"/>
      <c r="F3383" s="4" t="n"/>
      <c r="G3383" s="4" t="n"/>
    </row>
    <row r="3384" ht="25" customHeight="1">
      <c r="A3384" s="23" t="inlineStr">
        <is>
          <t>Исходная программа ОКБО ↗</t>
        </is>
      </c>
      <c r="D3384" s="23" t="inlineStr">
        <is>
          <t>Исходный УТП ОКБО ↗</t>
        </is>
      </c>
    </row>
    <row r="3385" ht="27" customHeight="1">
      <c r="A3385" s="24">
        <f>HYPERLINK("#'Выбор тем'!E"&amp;MATCH("T-9F71AF66",'Выбор тем'!$A:$A,0),"← Вернуться к теме")</f>
        <v/>
      </c>
    </row>
    <row r="3387" ht="38" customHeight="1">
      <c r="A3387" s="18" t="inlineStr">
        <is>
          <t>Цель и задачи TIP, назначение и функции, интеграция с системами</t>
        </is>
      </c>
      <c r="B3387" s="19" t="n"/>
      <c r="C3387" s="19" t="n"/>
      <c r="D3387" s="19" t="n"/>
      <c r="E3387" s="19" t="n"/>
      <c r="F3387" s="19" t="n"/>
      <c r="G3387" s="19" t="n"/>
    </row>
    <row r="3388" ht="26" customHeight="1">
      <c r="A3388" s="3" t="inlineStr">
        <is>
          <t>T-A4326792 · Программы: ОКБО</t>
        </is>
      </c>
      <c r="B3388" s="4" t="n"/>
      <c r="C3388" s="4" t="n"/>
      <c r="D3388" s="4" t="n"/>
      <c r="E3388" s="4" t="n"/>
      <c r="F3388" s="4" t="n"/>
      <c r="G3388" s="4" t="n"/>
    </row>
    <row r="3389" ht="27" customHeight="1">
      <c r="A3389" s="20" t="inlineStr">
        <is>
          <t>Вариант для: ОКБО</t>
        </is>
      </c>
      <c r="B3389" s="21" t="n"/>
      <c r="C3389" s="21" t="n"/>
      <c r="D3389" s="21" t="n"/>
      <c r="E3389" s="21" t="n"/>
      <c r="F3389" s="21" t="n"/>
      <c r="G3389" s="21" t="n"/>
    </row>
    <row r="3390" ht="64" customHeight="1">
      <c r="A3390" s="22" t="inlineStr">
        <is>
          <t>TIP для агрегирования, нормализации и оценки качества фидов threat-intelligence; поддержка форматов STIX/TAXII. Функции: дедупликация, оценка доверия источников, хранение исторических IOC. Интеграция с SIEM/SOAR для enrichment и автоматизации hunting. Импорт фида, фильтрация, экспорт в SIEM и проверка воздействия на detection-цепочки.</t>
        </is>
      </c>
      <c r="B3390" s="2" t="n"/>
      <c r="C3390" s="2" t="n"/>
      <c r="D3390" s="2" t="n"/>
      <c r="E3390" s="2" t="n"/>
      <c r="F3390" s="2" t="n"/>
      <c r="G3390" s="2" t="n"/>
    </row>
    <row r="3391" ht="51" customHeight="1">
      <c r="A3391" s="3" t="inlineStr">
        <is>
          <t>ОКБО — Обеспечение кибербезопасности организаций
Раздел: SOAR, TIP, XDR- Автоматизация реагирования · УТП: таблица 2, строка 36</t>
        </is>
      </c>
      <c r="B3391" s="4" t="n"/>
      <c r="C3391" s="4" t="n"/>
      <c r="D3391" s="4" t="n"/>
      <c r="E3391" s="4" t="n"/>
      <c r="F3391" s="4" t="n"/>
      <c r="G3391" s="4" t="n"/>
    </row>
    <row r="3392" ht="30" customHeight="1">
      <c r="A3392" s="3" t="inlineStr">
        <is>
          <t>В программе: Тема 2. Цель и задачи TIP, назначение и функции, интеграция с системами (2 часа лекции).</t>
        </is>
      </c>
      <c r="B3392" s="4" t="n"/>
      <c r="C3392" s="4" t="n"/>
      <c r="D3392" s="4" t="n"/>
      <c r="E3392" s="4" t="n"/>
      <c r="F3392" s="4" t="n"/>
      <c r="G3392" s="4" t="n"/>
    </row>
    <row r="3393" ht="25" customHeight="1">
      <c r="A3393" s="23" t="inlineStr">
        <is>
          <t>Исходная программа ОКБО ↗</t>
        </is>
      </c>
      <c r="D3393" s="23" t="inlineStr">
        <is>
          <t>Исходный УТП ОКБО ↗</t>
        </is>
      </c>
    </row>
    <row r="3394" ht="27" customHeight="1">
      <c r="A3394" s="24">
        <f>HYPERLINK("#'Выбор тем'!E"&amp;MATCH("T-A4326792",'Выбор тем'!$A:$A,0),"← Вернуться к теме")</f>
        <v/>
      </c>
    </row>
    <row r="3396" ht="38" customHeight="1">
      <c r="A3396" s="18" t="inlineStr">
        <is>
          <t>Цель и задачи XDR, его преимущества</t>
        </is>
      </c>
      <c r="B3396" s="19" t="n"/>
      <c r="C3396" s="19" t="n"/>
      <c r="D3396" s="19" t="n"/>
      <c r="E3396" s="19" t="n"/>
      <c r="F3396" s="19" t="n"/>
      <c r="G3396" s="19" t="n"/>
    </row>
    <row r="3397" ht="26" customHeight="1">
      <c r="A3397" s="3" t="inlineStr">
        <is>
          <t>T-A505DFF7 · Программы: ОКБО</t>
        </is>
      </c>
      <c r="B3397" s="4" t="n"/>
      <c r="C3397" s="4" t="n"/>
      <c r="D3397" s="4" t="n"/>
      <c r="E3397" s="4" t="n"/>
      <c r="F3397" s="4" t="n"/>
      <c r="G3397" s="4" t="n"/>
    </row>
    <row r="3398" ht="27" customHeight="1">
      <c r="A3398" s="20" t="inlineStr">
        <is>
          <t>Вариант для: ОКБО</t>
        </is>
      </c>
      <c r="B3398" s="21" t="n"/>
      <c r="C3398" s="21" t="n"/>
      <c r="D3398" s="21" t="n"/>
      <c r="E3398" s="21" t="n"/>
      <c r="F3398" s="21" t="n"/>
      <c r="G3398" s="21" t="n"/>
    </row>
    <row r="3399" ht="31" customHeight="1">
      <c r="A3399" s="25" t="inlineStr">
        <is>
          <t>Тема есть в УТП, но отдельное описание не найдено и в обновлённой программе ОКБО.</t>
        </is>
      </c>
      <c r="B3399" s="26" t="n"/>
      <c r="C3399" s="26" t="n"/>
      <c r="D3399" s="26" t="n"/>
      <c r="E3399" s="26" t="n"/>
      <c r="F3399" s="26" t="n"/>
      <c r="G3399" s="26" t="n"/>
    </row>
    <row r="3400" ht="48" customHeight="1">
      <c r="A3400" s="22" t="inlineStr">
        <is>
          <t>Описание этой темы не найдено в предоставленной программе. В УТП тема присутствует. Текст не дополнен предположениями; требуется уточнение у организатора.</t>
        </is>
      </c>
      <c r="B3400" s="2" t="n"/>
      <c r="C3400" s="2" t="n"/>
      <c r="D3400" s="2" t="n"/>
      <c r="E3400" s="2" t="n"/>
      <c r="F3400" s="2" t="n"/>
      <c r="G3400" s="2" t="n"/>
    </row>
    <row r="3401" ht="51" customHeight="1">
      <c r="A3401" s="3" t="inlineStr">
        <is>
          <t>ОКБО — Обеспечение кибербезопасности организаций
Раздел: SOAR, TIP, XDR- Автоматизация реагирования · УТП: таблица 2, строка 37</t>
        </is>
      </c>
      <c r="B3401" s="4" t="n"/>
      <c r="C3401" s="4" t="n"/>
      <c r="D3401" s="4" t="n"/>
      <c r="E3401" s="4" t="n"/>
      <c r="F3401" s="4" t="n"/>
      <c r="G3401" s="4" t="n"/>
    </row>
    <row r="3402" ht="25" customHeight="1">
      <c r="A3402" s="23" t="inlineStr">
        <is>
          <t>Исходная программа ОКБО ↗</t>
        </is>
      </c>
      <c r="D3402" s="23" t="inlineStr">
        <is>
          <t>Исходный УТП ОКБО ↗</t>
        </is>
      </c>
    </row>
    <row r="3403" ht="27" customHeight="1">
      <c r="A3403" s="24">
        <f>HYPERLINK("#'Выбор тем'!E"&amp;MATCH("T-A505DFF7",'Выбор тем'!$A:$A,0),"← Вернуться к теме")</f>
        <v/>
      </c>
    </row>
    <row r="3405" ht="38" customHeight="1">
      <c r="A3405" s="18" t="inlineStr">
        <is>
          <t>Цифровая трансформация как новый этап развития государства и общества</t>
        </is>
      </c>
      <c r="B3405" s="19" t="n"/>
      <c r="C3405" s="19" t="n"/>
      <c r="D3405" s="19" t="n"/>
      <c r="E3405" s="19" t="n"/>
      <c r="F3405" s="19" t="n"/>
      <c r="G3405" s="19" t="n"/>
    </row>
    <row r="3406" ht="26" customHeight="1">
      <c r="A3406" s="3" t="inlineStr">
        <is>
          <t>T-6DB4AB9E · Программы: ЦТГУ</t>
        </is>
      </c>
      <c r="B3406" s="4" t="n"/>
      <c r="C3406" s="4" t="n"/>
      <c r="D3406" s="4" t="n"/>
      <c r="E3406" s="4" t="n"/>
      <c r="F3406" s="4" t="n"/>
      <c r="G3406" s="4" t="n"/>
    </row>
    <row r="3407" ht="27" customHeight="1">
      <c r="A3407" s="20" t="inlineStr">
        <is>
          <t>Вариант для: ЦТГУ</t>
        </is>
      </c>
      <c r="B3407" s="21" t="n"/>
      <c r="C3407" s="21" t="n"/>
      <c r="D3407" s="21" t="n"/>
      <c r="E3407" s="21" t="n"/>
      <c r="F3407" s="21" t="n"/>
      <c r="G3407" s="21" t="n"/>
    </row>
    <row r="3408" ht="48" customHeight="1">
      <c r="A3408" s="22" t="inlineStr">
        <is>
          <t>Причины и условия возникновения цифровой экономики. Содержание и особенности цифровой экономики. Экосистема цифровой экономики: субъекты, объекты и институты. Технологии в рамках развития цифровой экономики. Стимулирование цифровой экономики на национальном и международном уровне.</t>
        </is>
      </c>
      <c r="B3408" s="2" t="n"/>
      <c r="C3408" s="2" t="n"/>
      <c r="D3408" s="2" t="n"/>
      <c r="E3408" s="2" t="n"/>
      <c r="F3408" s="2" t="n"/>
      <c r="G3408" s="2" t="n"/>
    </row>
    <row r="3409" ht="48" customHeight="1">
      <c r="A3409" s="22" t="inlineStr">
        <is>
          <t>Автоматизация, информатизация и цифровизация как последовательные этапы развития государства и общества. Понятия цифрового развития, цифровизации и цифровой трансформации: отличительные признаки и взаимосвязь между собой.</t>
        </is>
      </c>
      <c r="B3409" s="2" t="n"/>
      <c r="C3409" s="2" t="n"/>
      <c r="D3409" s="2" t="n"/>
      <c r="E3409" s="2" t="n"/>
      <c r="F3409" s="2" t="n"/>
      <c r="G3409" s="2" t="n"/>
    </row>
    <row r="3410" ht="51" customHeight="1">
      <c r="A3410" s="3" t="inlineStr">
        <is>
          <t>ЦТГУ — Цифровая трансформация государственного управления
Раздел: Стратегия государства: экономика данных и цифровое государство (2026–2030) · УТП: таблица 2, строка 6</t>
        </is>
      </c>
      <c r="B3410" s="4" t="n"/>
      <c r="C3410" s="4" t="n"/>
      <c r="D3410" s="4" t="n"/>
      <c r="E3410" s="4" t="n"/>
      <c r="F3410" s="4" t="n"/>
      <c r="G3410" s="4" t="n"/>
    </row>
    <row r="3411" ht="30" customHeight="1">
      <c r="A3411" s="3" t="inlineStr">
        <is>
          <t>В программе: Тема 1. Цифровая трансформация как новый этап развития государства и общества (2 часа лекции).</t>
        </is>
      </c>
      <c r="B3411" s="4" t="n"/>
      <c r="C3411" s="4" t="n"/>
      <c r="D3411" s="4" t="n"/>
      <c r="E3411" s="4" t="n"/>
      <c r="F3411" s="4" t="n"/>
      <c r="G3411" s="4" t="n"/>
    </row>
    <row r="3412" ht="25" customHeight="1">
      <c r="A3412" s="23" t="inlineStr">
        <is>
          <t>Исходная программа ЦТГУ ↗</t>
        </is>
      </c>
      <c r="D3412" s="23" t="inlineStr">
        <is>
          <t>Исходный УТП ЦТГУ ↗</t>
        </is>
      </c>
    </row>
    <row r="3413" ht="27" customHeight="1">
      <c r="A3413" s="24">
        <f>HYPERLINK("#'Выбор тем'!E"&amp;MATCH("T-6DB4AB9E",'Выбор тем'!$A:$A,0),"← Вернуться к теме")</f>
        <v/>
      </c>
    </row>
    <row r="3415" ht="38" customHeight="1">
      <c r="A3415" s="18" t="inlineStr">
        <is>
          <t>Цифровой суверенитет: импортонезависимость и отечественная цифровая экосистема</t>
        </is>
      </c>
      <c r="B3415" s="19" t="n"/>
      <c r="C3415" s="19" t="n"/>
      <c r="D3415" s="19" t="n"/>
      <c r="E3415" s="19" t="n"/>
      <c r="F3415" s="19" t="n"/>
      <c r="G3415" s="19" t="n"/>
    </row>
    <row r="3416" ht="26" customHeight="1">
      <c r="A3416" s="3" t="inlineStr">
        <is>
          <t>T-E2E0EC86 · Программы: ЦТГУ</t>
        </is>
      </c>
      <c r="B3416" s="4" t="n"/>
      <c r="C3416" s="4" t="n"/>
      <c r="D3416" s="4" t="n"/>
      <c r="E3416" s="4" t="n"/>
      <c r="F3416" s="4" t="n"/>
      <c r="G3416" s="4" t="n"/>
    </row>
    <row r="3417" ht="27" customHeight="1">
      <c r="A3417" s="20" t="inlineStr">
        <is>
          <t>Вариант для: ЦТГУ</t>
        </is>
      </c>
      <c r="B3417" s="21" t="n"/>
      <c r="C3417" s="21" t="n"/>
      <c r="D3417" s="21" t="n"/>
      <c r="E3417" s="21" t="n"/>
      <c r="F3417" s="21" t="n"/>
      <c r="G3417" s="21" t="n"/>
    </row>
    <row r="3418" ht="64" customHeight="1">
      <c r="A3418" s="22" t="inlineStr">
        <is>
          <t>Сущность цифрового суверенитета согласно Концепции обеспечения суверенитета до 2030 года. Реестр отечественного и доверенного программного обеспечения (далее – ПО), национальный репозиторий, цифровая платформа разработки и сопровождения государственных цифровых систем (государственных цифровых платформ). Организационные меры поддержки импортонезависимости.</t>
        </is>
      </c>
      <c r="B3418" s="2" t="n"/>
      <c r="C3418" s="2" t="n"/>
      <c r="D3418" s="2" t="n"/>
      <c r="E3418" s="2" t="n"/>
      <c r="F3418" s="2" t="n"/>
      <c r="G3418" s="2" t="n"/>
    </row>
    <row r="3419" ht="51" customHeight="1">
      <c r="A3419" s="3" t="inlineStr">
        <is>
          <t>ЦТГУ — Цифровая трансформация государственного управления
Раздел: Цифровой суверенитет и информационная безопасность · УТП: таблица 2, строка 16</t>
        </is>
      </c>
      <c r="B3419" s="4" t="n"/>
      <c r="C3419" s="4" t="n"/>
      <c r="D3419" s="4" t="n"/>
      <c r="E3419" s="4" t="n"/>
      <c r="F3419" s="4" t="n"/>
      <c r="G3419" s="4" t="n"/>
    </row>
    <row r="3420" ht="30" customHeight="1">
      <c r="A3420" s="3" t="inlineStr">
        <is>
          <t>В программе: Тема 1. Цифровой суверенитет: импортонезависимость и отечественная цифровая экосистема (2 часа лекции).</t>
        </is>
      </c>
      <c r="B3420" s="4" t="n"/>
      <c r="C3420" s="4" t="n"/>
      <c r="D3420" s="4" t="n"/>
      <c r="E3420" s="4" t="n"/>
      <c r="F3420" s="4" t="n"/>
      <c r="G3420" s="4" t="n"/>
    </row>
    <row r="3421" ht="25" customHeight="1">
      <c r="A3421" s="23" t="inlineStr">
        <is>
          <t>Исходная программа ЦТГУ ↗</t>
        </is>
      </c>
      <c r="D3421" s="23" t="inlineStr">
        <is>
          <t>Исходный УТП ЦТГУ ↗</t>
        </is>
      </c>
    </row>
    <row r="3422" ht="27" customHeight="1">
      <c r="A3422" s="24">
        <f>HYPERLINK("#'Выбор тем'!E"&amp;MATCH("T-E2E0EC86",'Выбор тем'!$A:$A,0),"← Вернуться к теме")</f>
        <v/>
      </c>
    </row>
    <row r="3424" ht="38" customHeight="1">
      <c r="A3424" s="18" t="inlineStr">
        <is>
          <t>Эксплуатация активов информационных систем. Администратор кибербезопасности</t>
        </is>
      </c>
      <c r="B3424" s="19" t="n"/>
      <c r="C3424" s="19" t="n"/>
      <c r="D3424" s="19" t="n"/>
      <c r="E3424" s="19" t="n"/>
      <c r="F3424" s="19" t="n"/>
      <c r="G3424" s="19" t="n"/>
    </row>
    <row r="3425" ht="26" customHeight="1">
      <c r="A3425" s="3" t="inlineStr">
        <is>
          <t>T-93960566 · Программы: ЗИКС</t>
        </is>
      </c>
      <c r="B3425" s="4" t="n"/>
      <c r="C3425" s="4" t="n"/>
      <c r="D3425" s="4" t="n"/>
      <c r="E3425" s="4" t="n"/>
      <c r="F3425" s="4" t="n"/>
      <c r="G3425" s="4" t="n"/>
    </row>
    <row r="3426" ht="27" customHeight="1">
      <c r="A3426" s="20" t="inlineStr">
        <is>
          <t>Вариант для: ЗИКС</t>
        </is>
      </c>
      <c r="B3426" s="21" t="n"/>
      <c r="C3426" s="21" t="n"/>
      <c r="D3426" s="21" t="n"/>
      <c r="E3426" s="21" t="n"/>
      <c r="F3426" s="21" t="n"/>
      <c r="G3426" s="21" t="n"/>
    </row>
    <row r="3427" ht="32" customHeight="1">
      <c r="A3427" s="22" t="inlineStr">
        <is>
          <t>Специфика эксплуатации защищенных информационных систем.</t>
        </is>
      </c>
      <c r="B3427" s="2" t="n"/>
      <c r="C3427" s="2" t="n"/>
      <c r="D3427" s="2" t="n"/>
      <c r="E3427" s="2" t="n"/>
      <c r="F3427" s="2" t="n"/>
      <c r="G3427" s="2" t="n"/>
    </row>
    <row r="3428" ht="32" customHeight="1">
      <c r="A3428" s="22" t="inlineStr">
        <is>
          <t>Комплексный подход к защите информации. Политики безопасности организации. Планы защиты информационных систем.</t>
        </is>
      </c>
      <c r="B3428" s="2" t="n"/>
      <c r="C3428" s="2" t="n"/>
      <c r="D3428" s="2" t="n"/>
      <c r="E3428" s="2" t="n"/>
      <c r="F3428" s="2" t="n"/>
      <c r="G3428" s="2" t="n"/>
    </row>
    <row r="3429" ht="32" customHeight="1">
      <c r="A3429" s="22" t="inlineStr">
        <is>
          <t>Кадры. Проблемы подбора кадров. Проблемы поддержания актуального уровня квалификации кадров.</t>
        </is>
      </c>
      <c r="B3429" s="2" t="n"/>
      <c r="C3429" s="2" t="n"/>
      <c r="D3429" s="2" t="n"/>
      <c r="E3429" s="2" t="n"/>
      <c r="F3429" s="2" t="n"/>
      <c r="G3429" s="2" t="n"/>
    </row>
    <row r="3430" ht="32" customHeight="1">
      <c r="A3430" s="22" t="inlineStr">
        <is>
          <t>Общий состав работ на этапе эксплуатации.</t>
        </is>
      </c>
      <c r="B3430" s="2" t="n"/>
      <c r="C3430" s="2" t="n"/>
      <c r="D3430" s="2" t="n"/>
      <c r="E3430" s="2" t="n"/>
      <c r="F3430" s="2" t="n"/>
      <c r="G3430" s="2" t="n"/>
    </row>
    <row r="3431" ht="32" customHeight="1">
      <c r="A3431" s="22" t="inlineStr">
        <is>
          <t>Администратор безопасности. Виды деятельности администратора кибербезопасности. Функции и задачи администрирования кибербезопасности.</t>
        </is>
      </c>
      <c r="B3431" s="2" t="n"/>
      <c r="C3431" s="2" t="n"/>
      <c r="D3431" s="2" t="n"/>
      <c r="E3431" s="2" t="n"/>
      <c r="F3431" s="2" t="n"/>
      <c r="G3431" s="2" t="n"/>
    </row>
    <row r="3432" ht="51" customHeight="1">
      <c r="A3432" s="3" t="inlineStr">
        <is>
          <t>ЗИКС — Защита информации в корпоративных системах
Раздел: Обеспечение функционирования системы защиты информации в процессе эксплуатации информационной системы. · УТП: таблица 2, строка 16</t>
        </is>
      </c>
      <c r="B3432" s="4" t="n"/>
      <c r="C3432" s="4" t="n"/>
      <c r="D3432" s="4" t="n"/>
      <c r="E3432" s="4" t="n"/>
      <c r="F3432" s="4" t="n"/>
      <c r="G3432" s="4" t="n"/>
    </row>
    <row r="3433" ht="30" customHeight="1">
      <c r="A3433" s="3" t="inlineStr">
        <is>
          <t>В программе: Тема 3. Эксплуатация активов информационных систем. Администратор кибербезопасности (2 часа лекции, 2 часа круглый стол).</t>
        </is>
      </c>
      <c r="B3433" s="4" t="n"/>
      <c r="C3433" s="4" t="n"/>
      <c r="D3433" s="4" t="n"/>
      <c r="E3433" s="4" t="n"/>
      <c r="F3433" s="4" t="n"/>
      <c r="G3433" s="4" t="n"/>
    </row>
    <row r="3434" ht="25" customHeight="1">
      <c r="A3434" s="23" t="inlineStr">
        <is>
          <t>Исходная программа ЗИКС ↗</t>
        </is>
      </c>
      <c r="D3434" s="23" t="inlineStr">
        <is>
          <t>Исходный УТП ЗИКС ↗</t>
        </is>
      </c>
    </row>
    <row r="3435" ht="27" customHeight="1">
      <c r="A3435" s="24">
        <f>HYPERLINK("#'Выбор тем'!E"&amp;MATCH("T-93960566",'Выбор тем'!$A:$A,0),"← Вернуться к теме")</f>
        <v/>
      </c>
    </row>
    <row r="3437" ht="38" customHeight="1">
      <c r="A3437" s="18" t="inlineStr">
        <is>
          <t>Электронная цифровая подпись</t>
        </is>
      </c>
      <c r="B3437" s="19" t="n"/>
      <c r="C3437" s="19" t="n"/>
      <c r="D3437" s="19" t="n"/>
      <c r="E3437" s="19" t="n"/>
      <c r="F3437" s="19" t="n"/>
      <c r="G3437" s="19" t="n"/>
    </row>
    <row r="3438" ht="26" customHeight="1">
      <c r="A3438" s="3" t="inlineStr">
        <is>
          <t>T-78FBD05D · Программы: ТК</t>
        </is>
      </c>
      <c r="B3438" s="4" t="n"/>
      <c r="C3438" s="4" t="n"/>
      <c r="D3438" s="4" t="n"/>
      <c r="E3438" s="4" t="n"/>
      <c r="F3438" s="4" t="n"/>
      <c r="G3438" s="4" t="n"/>
    </row>
    <row r="3439" ht="27" customHeight="1">
      <c r="A3439" s="20" t="inlineStr">
        <is>
          <t>Вариант для: ТК</t>
        </is>
      </c>
      <c r="B3439" s="21" t="n"/>
      <c r="C3439" s="21" t="n"/>
      <c r="D3439" s="21" t="n"/>
      <c r="E3439" s="21" t="n"/>
      <c r="F3439" s="21" t="n"/>
      <c r="G3439" s="21" t="n"/>
    </row>
    <row r="3440" ht="80" customHeight="1">
      <c r="A3440" s="22" t="inlineStr">
        <is>
          <t>Нормативные правовые акты в сфере электронного документа и электронной цифровой подписи. Основные требования, предъявляемые к электронному документу (cтруктура, формы представления, оригинал, копия, хранение, юридическая сила). Назначение и применение электронной цифровой подписи (владелец личного и открытого ключа, сертификат открытого ключа, атрибутный сертификат). Государственная система управления открытыми ключами. Признание иностранного сертификата открытого ключа.</t>
        </is>
      </c>
      <c r="B3440" s="2" t="n"/>
      <c r="C3440" s="2" t="n"/>
      <c r="D3440" s="2" t="n"/>
      <c r="E3440" s="2" t="n"/>
      <c r="F3440" s="2" t="n"/>
      <c r="G3440" s="2" t="n"/>
    </row>
    <row r="3441" ht="51" customHeight="1">
      <c r="A3441" s="3" t="inlineStr">
        <is>
          <t>ТК — Технологии кибербезопасности: от spoofing-атак до VPN и межсетевых экранов
Раздел: Особенности криптографической защиты информации · УТП: таблица 2, строка 26</t>
        </is>
      </c>
      <c r="B3441" s="4" t="n"/>
      <c r="C3441" s="4" t="n"/>
      <c r="D3441" s="4" t="n"/>
      <c r="E3441" s="4" t="n"/>
      <c r="F3441" s="4" t="n"/>
      <c r="G3441" s="4" t="n"/>
    </row>
    <row r="3442" ht="30" customHeight="1">
      <c r="A3442" s="3" t="inlineStr">
        <is>
          <t>В программе: Тема 2. Электронная цифровая подпись (4 часа лекции).</t>
        </is>
      </c>
      <c r="B3442" s="4" t="n"/>
      <c r="C3442" s="4" t="n"/>
      <c r="D3442" s="4" t="n"/>
      <c r="E3442" s="4" t="n"/>
      <c r="F3442" s="4" t="n"/>
      <c r="G3442" s="4" t="n"/>
    </row>
    <row r="3443" ht="25" customHeight="1">
      <c r="A3443" s="23" t="inlineStr">
        <is>
          <t>Исходная программа ТК ↗</t>
        </is>
      </c>
      <c r="D3443" s="23" t="inlineStr">
        <is>
          <t>Исходный УТП ТК ↗</t>
        </is>
      </c>
    </row>
    <row r="3444" ht="27" customHeight="1">
      <c r="A3444" s="24">
        <f>HYPERLINK("#'Выбор тем'!E"&amp;MATCH("T-78FBD05D",'Выбор тем'!$A:$A,0),"← Вернуться к теме")</f>
        <v/>
      </c>
    </row>
    <row r="3446" ht="38" customHeight="1">
      <c r="A3446" s="18" t="inlineStr">
        <is>
          <t>Электронные документы и электронная цифровая подпись</t>
        </is>
      </c>
      <c r="B3446" s="19" t="n"/>
      <c r="C3446" s="19" t="n"/>
      <c r="D3446" s="19" t="n"/>
      <c r="E3446" s="19" t="n"/>
      <c r="F3446" s="19" t="n"/>
      <c r="G3446" s="19" t="n"/>
    </row>
    <row r="3447" ht="26" customHeight="1">
      <c r="A3447" s="3" t="inlineStr">
        <is>
          <t>T-FDFBBC6A · Программы: КО</t>
        </is>
      </c>
      <c r="B3447" s="4" t="n"/>
      <c r="C3447" s="4" t="n"/>
      <c r="D3447" s="4" t="n"/>
      <c r="E3447" s="4" t="n"/>
      <c r="F3447" s="4" t="n"/>
      <c r="G3447" s="4" t="n"/>
    </row>
    <row r="3448" ht="27" customHeight="1">
      <c r="A3448" s="20" t="inlineStr">
        <is>
          <t>Вариант для: КО</t>
        </is>
      </c>
      <c r="B3448" s="21" t="n"/>
      <c r="C3448" s="21" t="n"/>
      <c r="D3448" s="21" t="n"/>
      <c r="E3448" s="21" t="n"/>
      <c r="F3448" s="21" t="n"/>
      <c r="G3448" s="21" t="n"/>
    </row>
    <row r="3449" ht="48" customHeight="1">
      <c r="A3449" s="22" t="inlineStr">
        <is>
          <t>Законодательство в сфере электронного документа и электронной цифровой подписи. Требования к электронному документу. Структура электронного документа. Механизмы цифровой подписи. Криптографические хэш-функции. Основные определения и классификация. Схемы цифровой подписи.</t>
        </is>
      </c>
      <c r="B3449" s="2" t="n"/>
      <c r="C3449" s="2" t="n"/>
      <c r="D3449" s="2" t="n"/>
      <c r="E3449" s="2" t="n"/>
      <c r="F3449" s="2" t="n"/>
      <c r="G3449" s="2" t="n"/>
    </row>
    <row r="3450" ht="51" customHeight="1">
      <c r="A3450" s="3" t="inlineStr">
        <is>
          <t>КО — Кибербезопасность государственных и иных организаций
Раздел: Криптографическая защита информации. · УТП: таблица 2, строка 24</t>
        </is>
      </c>
      <c r="B3450" s="4" t="n"/>
      <c r="C3450" s="4" t="n"/>
      <c r="D3450" s="4" t="n"/>
      <c r="E3450" s="4" t="n"/>
      <c r="F3450" s="4" t="n"/>
      <c r="G3450" s="4" t="n"/>
    </row>
    <row r="3451" ht="30" customHeight="1">
      <c r="A3451" s="3" t="inlineStr">
        <is>
          <t>В программе: Тема 2. Электронные документы и электронная цифровая подпись (2 часа лекции).</t>
        </is>
      </c>
      <c r="B3451" s="4" t="n"/>
      <c r="C3451" s="4" t="n"/>
      <c r="D3451" s="4" t="n"/>
      <c r="E3451" s="4" t="n"/>
      <c r="F3451" s="4" t="n"/>
      <c r="G3451" s="4" t="n"/>
    </row>
    <row r="3452" ht="25" customHeight="1">
      <c r="A3452" s="23" t="inlineStr">
        <is>
          <t>Исходная программа КО ↗</t>
        </is>
      </c>
      <c r="D3452" s="23" t="inlineStr">
        <is>
          <t>Исходный УТП КО ↗</t>
        </is>
      </c>
    </row>
    <row r="3453" ht="27" customHeight="1">
      <c r="A3453" s="24">
        <f>HYPERLINK("#'Выбор тем'!E"&amp;MATCH("T-FDFBBC6A",'Выбор тем'!$A:$A,0),"← Вернуться к теме")</f>
        <v/>
      </c>
    </row>
    <row r="3455" ht="38" customHeight="1">
      <c r="A3455" s="18" t="inlineStr">
        <is>
          <t>Этапы действий ЦКБ: мониторинг, обнаружение, анализ, реагирование, восстановление</t>
        </is>
      </c>
      <c r="B3455" s="19" t="n"/>
      <c r="C3455" s="19" t="n"/>
      <c r="D3455" s="19" t="n"/>
      <c r="E3455" s="19" t="n"/>
      <c r="F3455" s="19" t="n"/>
      <c r="G3455" s="19" t="n"/>
    </row>
    <row r="3456" ht="26" customHeight="1">
      <c r="A3456" s="3" t="inlineStr">
        <is>
          <t>T-E90F5F72 · Программы: ОКБО</t>
        </is>
      </c>
      <c r="B3456" s="4" t="n"/>
      <c r="C3456" s="4" t="n"/>
      <c r="D3456" s="4" t="n"/>
      <c r="E3456" s="4" t="n"/>
      <c r="F3456" s="4" t="n"/>
      <c r="G3456" s="4" t="n"/>
    </row>
    <row r="3457" ht="27" customHeight="1">
      <c r="A3457" s="20" t="inlineStr">
        <is>
          <t>Вариант для: ОКБО</t>
        </is>
      </c>
      <c r="B3457" s="21" t="n"/>
      <c r="C3457" s="21" t="n"/>
      <c r="D3457" s="21" t="n"/>
      <c r="E3457" s="21" t="n"/>
      <c r="F3457" s="21" t="n"/>
      <c r="G3457" s="21" t="n"/>
    </row>
    <row r="3458" ht="64" customHeight="1">
      <c r="A3458" s="22" t="inlineStr">
        <is>
          <t>Определение набора источников, корректная телеметрия, качество логирования. Правила корреляции, поведенческая аналитика (UEBA) и эвристические методы. Триаж, обогащение IoC, определение уровня инцидента и приоритетов. Сдерживание и устранение угроз, координация с бизнесом и регуляторами. Использование SOAR для автоматизации. Восстановление сервисов. RTO/RPO, постинцидентный разбор и корректирующие мероприятия.</t>
        </is>
      </c>
      <c r="B3458" s="2" t="n"/>
      <c r="C3458" s="2" t="n"/>
      <c r="D3458" s="2" t="n"/>
      <c r="E3458" s="2" t="n"/>
      <c r="F3458" s="2" t="n"/>
      <c r="G3458" s="2" t="n"/>
    </row>
    <row r="3459" ht="51" customHeight="1">
      <c r="A3459" s="3" t="inlineStr">
        <is>
          <t>ОКБО — Обеспечение кибербезопасности организаций
Раздел: Основные функции центров обеспечения кибербезопасности и реагирования на киберинциденты объектов информационной инфраструктуры государственных органов и иных организаций (ЦКБ), процессы информационной безопасности · УТП: таблица 2, строка 17</t>
        </is>
      </c>
      <c r="B3459" s="4" t="n"/>
      <c r="C3459" s="4" t="n"/>
      <c r="D3459" s="4" t="n"/>
      <c r="E3459" s="4" t="n"/>
      <c r="F3459" s="4" t="n"/>
      <c r="G3459" s="4" t="n"/>
    </row>
    <row r="3460" ht="30" customHeight="1">
      <c r="A3460" s="3" t="inlineStr">
        <is>
          <t>В программе: Тема 4. Этапы действий ЦКБ: мониторинг, обнаружение, анализ, реагирование, восстановление (3 часа лекции).</t>
        </is>
      </c>
      <c r="B3460" s="4" t="n"/>
      <c r="C3460" s="4" t="n"/>
      <c r="D3460" s="4" t="n"/>
      <c r="E3460" s="4" t="n"/>
      <c r="F3460" s="4" t="n"/>
      <c r="G3460" s="4" t="n"/>
    </row>
    <row r="3461" ht="25" customHeight="1">
      <c r="A3461" s="23" t="inlineStr">
        <is>
          <t>Исходная программа ОКБО ↗</t>
        </is>
      </c>
      <c r="D3461" s="23" t="inlineStr">
        <is>
          <t>Исходный УТП ОКБО ↗</t>
        </is>
      </c>
    </row>
    <row r="3462" ht="27" customHeight="1">
      <c r="A3462" s="24">
        <f>HYPERLINK("#'Выбор тем'!E"&amp;MATCH("T-E90F5F72",'Выбор тем'!$A:$A,0),"← Вернуться к теме")</f>
        <v/>
      </c>
    </row>
  </sheetData>
  <mergeCells count="3528">
    <mergeCell ref="A738:G738"/>
    <mergeCell ref="A2251:G2251"/>
    <mergeCell ref="A557:C557"/>
    <mergeCell ref="A852:G852"/>
    <mergeCell ref="A771:G771"/>
    <mergeCell ref="A1824:G1824"/>
    <mergeCell ref="A765:G765"/>
    <mergeCell ref="A1069:G1069"/>
    <mergeCell ref="A2122:G2122"/>
    <mergeCell ref="A1063:G1063"/>
    <mergeCell ref="A3014:G3014"/>
    <mergeCell ref="A428:C428"/>
    <mergeCell ref="A3312:G3312"/>
    <mergeCell ref="D595:G595"/>
    <mergeCell ref="A1221:G1221"/>
    <mergeCell ref="A1941:C1941"/>
    <mergeCell ref="A2551:G2551"/>
    <mergeCell ref="D132:G132"/>
    <mergeCell ref="A2858:G2858"/>
    <mergeCell ref="A3307:C3307"/>
    <mergeCell ref="A1948:G1948"/>
    <mergeCell ref="A39:G39"/>
    <mergeCell ref="A310:G310"/>
    <mergeCell ref="A3314:G3314"/>
    <mergeCell ref="A337:G337"/>
    <mergeCell ref="A2553:G2553"/>
    <mergeCell ref="A3002:C3002"/>
    <mergeCell ref="A1521:G1521"/>
    <mergeCell ref="A766:G766"/>
    <mergeCell ref="A1825:G1825"/>
    <mergeCell ref="A2851:G2851"/>
    <mergeCell ref="A3009:G3009"/>
    <mergeCell ref="A339:G339"/>
    <mergeCell ref="D1981:G1981"/>
    <mergeCell ref="A2853:G2853"/>
    <mergeCell ref="A1210:G1210"/>
    <mergeCell ref="A1552:G1552"/>
    <mergeCell ref="A1508:G1508"/>
    <mergeCell ref="A153:G153"/>
    <mergeCell ref="A3410:G3410"/>
    <mergeCell ref="A1666:G1666"/>
    <mergeCell ref="A364:G364"/>
    <mergeCell ref="A1239:G1239"/>
    <mergeCell ref="A1852:G1852"/>
    <mergeCell ref="A1537:G1537"/>
    <mergeCell ref="A2727:G2727"/>
    <mergeCell ref="A776:G776"/>
    <mergeCell ref="A21:G21"/>
    <mergeCell ref="A1966:G1966"/>
    <mergeCell ref="A2771:C2771"/>
    <mergeCell ref="A2938:G2938"/>
    <mergeCell ref="A2913:G2913"/>
    <mergeCell ref="A3236:G3236"/>
    <mergeCell ref="A1539:G1539"/>
    <mergeCell ref="A784:G784"/>
    <mergeCell ref="A2152:G2152"/>
    <mergeCell ref="A1837:G1837"/>
    <mergeCell ref="A2481:G2481"/>
    <mergeCell ref="A23:G23"/>
    <mergeCell ref="A3443:C3443"/>
    <mergeCell ref="D56:G56"/>
    <mergeCell ref="A1240:G1240"/>
    <mergeCell ref="A181:G181"/>
    <mergeCell ref="A2266:G2266"/>
    <mergeCell ref="A2269:C2269"/>
    <mergeCell ref="A479:G479"/>
    <mergeCell ref="D2305:G2305"/>
    <mergeCell ref="A3238:G3238"/>
    <mergeCell ref="A1967:G1967"/>
    <mergeCell ref="A2483:G2483"/>
    <mergeCell ref="A2781:G2781"/>
    <mergeCell ref="A52:G52"/>
    <mergeCell ref="A665:G665"/>
    <mergeCell ref="A481:G481"/>
    <mergeCell ref="A1543:C1543"/>
    <mergeCell ref="D1546:G1546"/>
    <mergeCell ref="A510:G510"/>
    <mergeCell ref="A1751:G1751"/>
    <mergeCell ref="D3393:G3393"/>
    <mergeCell ref="A1565:G1565"/>
    <mergeCell ref="A810:G810"/>
    <mergeCell ref="A1863:G1863"/>
    <mergeCell ref="A383:G383"/>
    <mergeCell ref="A2353:G2353"/>
    <mergeCell ref="A2651:G2651"/>
    <mergeCell ref="A1896:G1896"/>
    <mergeCell ref="D1386:G1386"/>
    <mergeCell ref="A812:G812"/>
    <mergeCell ref="A1261:C1261"/>
    <mergeCell ref="A1567:G1567"/>
    <mergeCell ref="A2287:C2287"/>
    <mergeCell ref="D2777:G2777"/>
    <mergeCell ref="D2448:G2448"/>
    <mergeCell ref="A78:G78"/>
    <mergeCell ref="A3378:G3378"/>
    <mergeCell ref="A2623:G2623"/>
    <mergeCell ref="D661:G661"/>
    <mergeCell ref="D1991:G1991"/>
    <mergeCell ref="A2617:G2617"/>
    <mergeCell ref="D959:G959"/>
    <mergeCell ref="A2653:G2653"/>
    <mergeCell ref="A1898:G1898"/>
    <mergeCell ref="A2957:G2957"/>
    <mergeCell ref="A2951:G2951"/>
    <mergeCell ref="A2190:G2190"/>
    <mergeCell ref="A80:G80"/>
    <mergeCell ref="A3380:G3380"/>
    <mergeCell ref="A3134:G3134"/>
    <mergeCell ref="A197:C197"/>
    <mergeCell ref="A3375:C3375"/>
    <mergeCell ref="A3075:G3075"/>
    <mergeCell ref="D3263:G3263"/>
    <mergeCell ref="A3251:G3251"/>
    <mergeCell ref="D3421:G3421"/>
    <mergeCell ref="D2022:G2022"/>
    <mergeCell ref="A2952:G2952"/>
    <mergeCell ref="D1590:G1590"/>
    <mergeCell ref="A1893:G1893"/>
    <mergeCell ref="A863:G863"/>
    <mergeCell ref="A1278:G1278"/>
    <mergeCell ref="A1495:G1495"/>
    <mergeCell ref="A436:G436"/>
    <mergeCell ref="A2679:G2679"/>
    <mergeCell ref="A1924:G1924"/>
    <mergeCell ref="A2977:G2977"/>
    <mergeCell ref="A525:G525"/>
    <mergeCell ref="A1163:G1163"/>
    <mergeCell ref="A1190:G1190"/>
    <mergeCell ref="A3108:G3108"/>
    <mergeCell ref="A2038:G2038"/>
    <mergeCell ref="A3406:G3406"/>
    <mergeCell ref="A1497:G1497"/>
    <mergeCell ref="A887:C887"/>
    <mergeCell ref="A1795:G1795"/>
    <mergeCell ref="A736:G736"/>
    <mergeCell ref="A1917:G1917"/>
    <mergeCell ref="A2979:G2979"/>
    <mergeCell ref="D1921:G1921"/>
    <mergeCell ref="A2224:G2224"/>
    <mergeCell ref="A1909:G1909"/>
    <mergeCell ref="A850:G850"/>
    <mergeCell ref="A1192:G1192"/>
    <mergeCell ref="D2834:G2834"/>
    <mergeCell ref="A1148:G1148"/>
    <mergeCell ref="A431:G431"/>
    <mergeCell ref="A1490:G1490"/>
    <mergeCell ref="A2338:G2338"/>
    <mergeCell ref="A1621:G1621"/>
    <mergeCell ref="A1797:G1797"/>
    <mergeCell ref="A1919:G1919"/>
    <mergeCell ref="A3310:G3310"/>
    <mergeCell ref="D2800:G2800"/>
    <mergeCell ref="A2209:G2209"/>
    <mergeCell ref="A124:G124"/>
    <mergeCell ref="A422:G422"/>
    <mergeCell ref="D428:G428"/>
    <mergeCell ref="D2671:G2671"/>
    <mergeCell ref="A2578:G2578"/>
    <mergeCell ref="D3434:G3434"/>
    <mergeCell ref="A149:G149"/>
    <mergeCell ref="A447:G447"/>
    <mergeCell ref="A1637:G1637"/>
    <mergeCell ref="A1:F1"/>
    <mergeCell ref="A578:G578"/>
    <mergeCell ref="A876:G876"/>
    <mergeCell ref="A1174:G1174"/>
    <mergeCell ref="A2878:G2878"/>
    <mergeCell ref="A151:G151"/>
    <mergeCell ref="A449:G449"/>
    <mergeCell ref="A1029:C1029"/>
    <mergeCell ref="A2692:G2692"/>
    <mergeCell ref="A607:G607"/>
    <mergeCell ref="A1937:G1937"/>
    <mergeCell ref="A3412:C3412"/>
    <mergeCell ref="A150:G150"/>
    <mergeCell ref="D2547:G2547"/>
    <mergeCell ref="A144:G144"/>
    <mergeCell ref="A579:G579"/>
    <mergeCell ref="A1632:G1632"/>
    <mergeCell ref="A877:G877"/>
    <mergeCell ref="A145:C145"/>
    <mergeCell ref="A2725:G2725"/>
    <mergeCell ref="A3023:G3023"/>
    <mergeCell ref="D1636:G1636"/>
    <mergeCell ref="A1939:G1939"/>
    <mergeCell ref="A2604:G2604"/>
    <mergeCell ref="D726:G726"/>
    <mergeCell ref="A152:G152"/>
    <mergeCell ref="A1627:C1627"/>
    <mergeCell ref="A1205:G1205"/>
    <mergeCell ref="A450:G450"/>
    <mergeCell ref="D1540:G1540"/>
    <mergeCell ref="A2083:C2083"/>
    <mergeCell ref="A3323:G3323"/>
    <mergeCell ref="A1536:G1536"/>
    <mergeCell ref="A2904:G2904"/>
    <mergeCell ref="A291:G291"/>
    <mergeCell ref="A589:G589"/>
    <mergeCell ref="A1779:G1779"/>
    <mergeCell ref="A2593:G2593"/>
    <mergeCell ref="A806:G806"/>
    <mergeCell ref="A3049:G3049"/>
    <mergeCell ref="D1687:G1687"/>
    <mergeCell ref="A1990:G1990"/>
    <mergeCell ref="A1650:G1650"/>
    <mergeCell ref="D288:G288"/>
    <mergeCell ref="A2288:G2288"/>
    <mergeCell ref="A501:G501"/>
    <mergeCell ref="A1563:G1563"/>
    <mergeCell ref="A292:G292"/>
    <mergeCell ref="A808:G808"/>
    <mergeCell ref="A1861:G1861"/>
    <mergeCell ref="A286:G286"/>
    <mergeCell ref="A1106:G1106"/>
    <mergeCell ref="A1867:G1867"/>
    <mergeCell ref="A3051:G3051"/>
    <mergeCell ref="A2019:G2019"/>
    <mergeCell ref="A626:G626"/>
    <mergeCell ref="A2290:G2290"/>
    <mergeCell ref="A3349:G3349"/>
    <mergeCell ref="A1562:G1562"/>
    <mergeCell ref="A2588:G2588"/>
    <mergeCell ref="A585:C585"/>
    <mergeCell ref="A163:G163"/>
    <mergeCell ref="A2624:G2624"/>
    <mergeCell ref="A2746:G2746"/>
    <mergeCell ref="A3044:G3044"/>
    <mergeCell ref="A1985:G1985"/>
    <mergeCell ref="A592:G592"/>
    <mergeCell ref="A1108:G1108"/>
    <mergeCell ref="A890:G890"/>
    <mergeCell ref="D1718:G1718"/>
    <mergeCell ref="A374:G374"/>
    <mergeCell ref="A1266:G1266"/>
    <mergeCell ref="A2103:C2103"/>
    <mergeCell ref="D1261:G1261"/>
    <mergeCell ref="A1564:G1564"/>
    <mergeCell ref="D2287:G2287"/>
    <mergeCell ref="A1862:G1862"/>
    <mergeCell ref="A803:G803"/>
    <mergeCell ref="D2314:G2314"/>
    <mergeCell ref="A2319:G2319"/>
    <mergeCell ref="A3046:G3046"/>
    <mergeCell ref="A2026:G2026"/>
    <mergeCell ref="D343:G343"/>
    <mergeCell ref="A3191:G3191"/>
    <mergeCell ref="A1276:G1276"/>
    <mergeCell ref="A521:G521"/>
    <mergeCell ref="A3104:G3104"/>
    <mergeCell ref="A2764:G2764"/>
    <mergeCell ref="A1705:G1705"/>
    <mergeCell ref="A2154:C2154"/>
    <mergeCell ref="A977:G977"/>
    <mergeCell ref="A2003:G2003"/>
    <mergeCell ref="A613:C613"/>
    <mergeCell ref="A216:G216"/>
    <mergeCell ref="A2161:G2161"/>
    <mergeCell ref="A2881:C2881"/>
    <mergeCell ref="A2459:G2459"/>
    <mergeCell ref="D1097:G1097"/>
    <mergeCell ref="A523:G523"/>
    <mergeCell ref="A1704:G1704"/>
    <mergeCell ref="A2975:G2975"/>
    <mergeCell ref="A821:G821"/>
    <mergeCell ref="A1270:C1270"/>
    <mergeCell ref="A1486:G1486"/>
    <mergeCell ref="A3273:G3273"/>
    <mergeCell ref="A1734:G1734"/>
    <mergeCell ref="A87:G87"/>
    <mergeCell ref="A979:G979"/>
    <mergeCell ref="A3064:G3064"/>
    <mergeCell ref="A1277:G1277"/>
    <mergeCell ref="A218:G218"/>
    <mergeCell ref="A1915:G1915"/>
    <mergeCell ref="A1271:G1271"/>
    <mergeCell ref="A516:G516"/>
    <mergeCell ref="A1408:G1408"/>
    <mergeCell ref="A1575:G1575"/>
    <mergeCell ref="A1706:G1706"/>
    <mergeCell ref="A2461:G2461"/>
    <mergeCell ref="A2759:G2759"/>
    <mergeCell ref="A2004:G2004"/>
    <mergeCell ref="A1488:G1488"/>
    <mergeCell ref="A89:G89"/>
    <mergeCell ref="A2976:G2976"/>
    <mergeCell ref="A1577:G1577"/>
    <mergeCell ref="D557:G557"/>
    <mergeCell ref="A974:G974"/>
    <mergeCell ref="A1788:G1788"/>
    <mergeCell ref="A242:G242"/>
    <mergeCell ref="A1633:G1633"/>
    <mergeCell ref="A234:G234"/>
    <mergeCell ref="A244:G244"/>
    <mergeCell ref="A542:G542"/>
    <mergeCell ref="A2694:G2694"/>
    <mergeCell ref="A1635:G1635"/>
    <mergeCell ref="A2688:G2688"/>
    <mergeCell ref="A1295:G1295"/>
    <mergeCell ref="A685:C685"/>
    <mergeCell ref="A1933:G1933"/>
    <mergeCell ref="A901:G901"/>
    <mergeCell ref="A656:G656"/>
    <mergeCell ref="A2986:G2986"/>
    <mergeCell ref="A115:G115"/>
    <mergeCell ref="A1727:C1727"/>
    <mergeCell ref="A3415:G3415"/>
    <mergeCell ref="D1002:G1002"/>
    <mergeCell ref="A2780:C2780"/>
    <mergeCell ref="A1628:G1628"/>
    <mergeCell ref="A569:G569"/>
    <mergeCell ref="A993:C993"/>
    <mergeCell ref="A544:G544"/>
    <mergeCell ref="D539:G539"/>
    <mergeCell ref="A2994:G2994"/>
    <mergeCell ref="A1935:G1935"/>
    <mergeCell ref="A2988:G2988"/>
    <mergeCell ref="A903:G903"/>
    <mergeCell ref="A148:G148"/>
    <mergeCell ref="A1717:G1717"/>
    <mergeCell ref="A1201:G1201"/>
    <mergeCell ref="A446:G446"/>
    <mergeCell ref="A2233:G2233"/>
    <mergeCell ref="A2531:G2531"/>
    <mergeCell ref="D1029:G1029"/>
    <mergeCell ref="D2843:G2843"/>
    <mergeCell ref="A3111:C3111"/>
    <mergeCell ref="A1630:G1630"/>
    <mergeCell ref="D3412:G3412"/>
    <mergeCell ref="A3417:G3417"/>
    <mergeCell ref="A3118:G3118"/>
    <mergeCell ref="D2809:G2809"/>
    <mergeCell ref="A2235:G2235"/>
    <mergeCell ref="A3416:G3416"/>
    <mergeCell ref="A2017:G2017"/>
    <mergeCell ref="A3329:G3329"/>
    <mergeCell ref="A2989:G2989"/>
    <mergeCell ref="D1627:G1627"/>
    <mergeCell ref="A1930:G1930"/>
    <mergeCell ref="A2379:C2379"/>
    <mergeCell ref="D3443:G3443"/>
    <mergeCell ref="A255:G255"/>
    <mergeCell ref="D2413:G2413"/>
    <mergeCell ref="A2716:G2716"/>
    <mergeCell ref="A1646:G1646"/>
    <mergeCell ref="A1011:C1011"/>
    <mergeCell ref="A745:G745"/>
    <mergeCell ref="A1358:G1358"/>
    <mergeCell ref="A1043:G1043"/>
    <mergeCell ref="D1470:G1470"/>
    <mergeCell ref="A2403:G2403"/>
    <mergeCell ref="A1648:G1648"/>
    <mergeCell ref="D628:G628"/>
    <mergeCell ref="A616:G616"/>
    <mergeCell ref="D926:G926"/>
    <mergeCell ref="A1229:G1229"/>
    <mergeCell ref="A1946:G1946"/>
    <mergeCell ref="A159:G159"/>
    <mergeCell ref="A3136:G3136"/>
    <mergeCell ref="A2104:G2104"/>
    <mergeCell ref="A1045:G1045"/>
    <mergeCell ref="A1343:G1343"/>
    <mergeCell ref="A588:G588"/>
    <mergeCell ref="A2533:G2533"/>
    <mergeCell ref="A2709:G2709"/>
    <mergeCell ref="A2831:G2831"/>
    <mergeCell ref="A2315:G2315"/>
    <mergeCell ref="A161:G161"/>
    <mergeCell ref="A306:C306"/>
    <mergeCell ref="A459:G459"/>
    <mergeCell ref="D2416:G2416"/>
    <mergeCell ref="A3042:G3042"/>
    <mergeCell ref="A2702:G2702"/>
    <mergeCell ref="A617:G617"/>
    <mergeCell ref="A1643:G1643"/>
    <mergeCell ref="A3131:G3131"/>
    <mergeCell ref="A2615:G2615"/>
    <mergeCell ref="A1674:G1674"/>
    <mergeCell ref="A615:G615"/>
    <mergeCell ref="A1071:G1071"/>
    <mergeCell ref="A1369:G1369"/>
    <mergeCell ref="A492:G492"/>
    <mergeCell ref="A614:G614"/>
    <mergeCell ref="A948:G948"/>
    <mergeCell ref="A606:G606"/>
    <mergeCell ref="A644:G644"/>
    <mergeCell ref="A942:G942"/>
    <mergeCell ref="A187:G187"/>
    <mergeCell ref="A485:G485"/>
    <mergeCell ref="A1371:G1371"/>
    <mergeCell ref="A1675:G1675"/>
    <mergeCell ref="D1366:G1366"/>
    <mergeCell ref="D2556:G2556"/>
    <mergeCell ref="A1730:G1730"/>
    <mergeCell ref="A3060:G3060"/>
    <mergeCell ref="A3182:G3182"/>
    <mergeCell ref="A189:G189"/>
    <mergeCell ref="D2469:G2469"/>
    <mergeCell ref="A487:G487"/>
    <mergeCell ref="A2457:G2457"/>
    <mergeCell ref="A2854:C2854"/>
    <mergeCell ref="A3062:G3062"/>
    <mergeCell ref="A2427:C2427"/>
    <mergeCell ref="A3360:G3360"/>
    <mergeCell ref="A1275:G1275"/>
    <mergeCell ref="A2757:G2757"/>
    <mergeCell ref="A970:G970"/>
    <mergeCell ref="A1387:G1387"/>
    <mergeCell ref="A2027:G2027"/>
    <mergeCell ref="A357:G357"/>
    <mergeCell ref="A1077:C1077"/>
    <mergeCell ref="A2659:G2659"/>
    <mergeCell ref="A1084:G1084"/>
    <mergeCell ref="A329:G329"/>
    <mergeCell ref="A2049:C2049"/>
    <mergeCell ref="A627:G627"/>
    <mergeCell ref="A3088:G3088"/>
    <mergeCell ref="A1003:G1003"/>
    <mergeCell ref="A2478:C2478"/>
    <mergeCell ref="A688:G688"/>
    <mergeCell ref="A663:G663"/>
    <mergeCell ref="A1301:G1301"/>
    <mergeCell ref="A986:G986"/>
    <mergeCell ref="A2056:G2056"/>
    <mergeCell ref="A540:G540"/>
    <mergeCell ref="A2354:G2354"/>
    <mergeCell ref="A2773:G2773"/>
    <mergeCell ref="A2789:G2789"/>
    <mergeCell ref="A482:C482"/>
    <mergeCell ref="A1415:G1415"/>
    <mergeCell ref="A2028:G2028"/>
    <mergeCell ref="A2890:C2890"/>
    <mergeCell ref="A3202:G3202"/>
    <mergeCell ref="A996:G996"/>
    <mergeCell ref="A629:G629"/>
    <mergeCell ref="D1755:G1755"/>
    <mergeCell ref="A2362:G2362"/>
    <mergeCell ref="A2356:G2356"/>
    <mergeCell ref="A1601:G1601"/>
    <mergeCell ref="A1286:G1286"/>
    <mergeCell ref="A2476:G2476"/>
    <mergeCell ref="A3234:C3234"/>
    <mergeCell ref="A1715:G1715"/>
    <mergeCell ref="A2057:G2057"/>
    <mergeCell ref="A1718:C1718"/>
    <mergeCell ref="A2328:G2328"/>
    <mergeCell ref="A2133:C2133"/>
    <mergeCell ref="D2780:G2780"/>
    <mergeCell ref="A3083:G3083"/>
    <mergeCell ref="A1586:G1586"/>
    <mergeCell ref="A556:G556"/>
    <mergeCell ref="A2357:G2357"/>
    <mergeCell ref="A714:G714"/>
    <mergeCell ref="A42:G42"/>
    <mergeCell ref="A558:G558"/>
    <mergeCell ref="A1775:G1775"/>
    <mergeCell ref="A2046:G2046"/>
    <mergeCell ref="A2801:G2801"/>
    <mergeCell ref="A1014:G1014"/>
    <mergeCell ref="A259:G259"/>
    <mergeCell ref="A253:G253"/>
    <mergeCell ref="A2198:G2198"/>
    <mergeCell ref="A1443:G1443"/>
    <mergeCell ref="A2502:G2502"/>
    <mergeCell ref="A411:G411"/>
    <mergeCell ref="A1131:C1131"/>
    <mergeCell ref="A1619:G1619"/>
    <mergeCell ref="A709:G709"/>
    <mergeCell ref="A2075:G2075"/>
    <mergeCell ref="A1016:G1016"/>
    <mergeCell ref="D1011:G1011"/>
    <mergeCell ref="A1612:G1612"/>
    <mergeCell ref="A1002:C1002"/>
    <mergeCell ref="D1897:G1897"/>
    <mergeCell ref="A2504:G2504"/>
    <mergeCell ref="A711:G711"/>
    <mergeCell ref="A2041:G2041"/>
    <mergeCell ref="D1678:G1678"/>
    <mergeCell ref="A2829:G2829"/>
    <mergeCell ref="A2194:C2194"/>
    <mergeCell ref="A3127:G3127"/>
    <mergeCell ref="D410:G410"/>
    <mergeCell ref="A3163:G3163"/>
    <mergeCell ref="A856:G856"/>
    <mergeCell ref="A3129:G3129"/>
    <mergeCell ref="A429:G429"/>
    <mergeCell ref="A1149:C1149"/>
    <mergeCell ref="A727:G727"/>
    <mergeCell ref="A640:G640"/>
    <mergeCell ref="A938:G938"/>
    <mergeCell ref="A2128:G2128"/>
    <mergeCell ref="A3154:G3154"/>
    <mergeCell ref="A3458:G3458"/>
    <mergeCell ref="A2426:G2426"/>
    <mergeCell ref="A729:G729"/>
    <mergeCell ref="A1367:G1367"/>
    <mergeCell ref="A1027:G1027"/>
    <mergeCell ref="A1665:G1665"/>
    <mergeCell ref="D3307:G3307"/>
    <mergeCell ref="A2855:G2855"/>
    <mergeCell ref="A1158:G1158"/>
    <mergeCell ref="A548:C548"/>
    <mergeCell ref="A3031:G3031"/>
    <mergeCell ref="A1456:G1456"/>
    <mergeCell ref="A1972:G1972"/>
    <mergeCell ref="A3153:G3153"/>
    <mergeCell ref="A1244:G1244"/>
    <mergeCell ref="A1754:G1754"/>
    <mergeCell ref="A3189:G3189"/>
    <mergeCell ref="A1238:G1238"/>
    <mergeCell ref="A3460:G3460"/>
    <mergeCell ref="A3183:G3183"/>
    <mergeCell ref="A1790:G1790"/>
    <mergeCell ref="A2428:G2428"/>
    <mergeCell ref="A3148:C3148"/>
    <mergeCell ref="A2726:G2726"/>
    <mergeCell ref="A1667:G1667"/>
    <mergeCell ref="A419:C419"/>
    <mergeCell ref="A1609:C1609"/>
    <mergeCell ref="A3155:G3155"/>
    <mergeCell ref="A2123:G2123"/>
    <mergeCell ref="A3453:G3453"/>
    <mergeCell ref="A2728:G2728"/>
    <mergeCell ref="A3026:G3026"/>
    <mergeCell ref="A941:G941"/>
    <mergeCell ref="A2416:C2416"/>
    <mergeCell ref="D2881:G2881"/>
    <mergeCell ref="A3184:G3184"/>
    <mergeCell ref="A3455:G3455"/>
    <mergeCell ref="A1385:G1385"/>
    <mergeCell ref="A3320:G3320"/>
    <mergeCell ref="A1683:G1683"/>
    <mergeCell ref="A1841:G1841"/>
    <mergeCell ref="A1086:G1086"/>
    <mergeCell ref="A325:G325"/>
    <mergeCell ref="A1378:G1378"/>
    <mergeCell ref="A2270:G2270"/>
    <mergeCell ref="A2568:G2568"/>
    <mergeCell ref="A659:G659"/>
    <mergeCell ref="A653:G653"/>
    <mergeCell ref="A1843:G1843"/>
    <mergeCell ref="A1088:G1088"/>
    <mergeCell ref="A3173:G3173"/>
    <mergeCell ref="A2141:G2141"/>
    <mergeCell ref="D1121:G1121"/>
    <mergeCell ref="A2779:G2779"/>
    <mergeCell ref="A3331:G3331"/>
    <mergeCell ref="A625:G625"/>
    <mergeCell ref="A652:G652"/>
    <mergeCell ref="A1960:C1960"/>
    <mergeCell ref="A2570:G2570"/>
    <mergeCell ref="A1538:G1538"/>
    <mergeCell ref="A2868:G2868"/>
    <mergeCell ref="A1836:G1836"/>
    <mergeCell ref="A1081:G1081"/>
    <mergeCell ref="A198:G198"/>
    <mergeCell ref="A2565:C2565"/>
    <mergeCell ref="A2143:G2143"/>
    <mergeCell ref="A2863:C2863"/>
    <mergeCell ref="A2441:G2441"/>
    <mergeCell ref="A356:G356"/>
    <mergeCell ref="A2469:C2469"/>
    <mergeCell ref="A3079:G3079"/>
    <mergeCell ref="D47:G47"/>
    <mergeCell ref="A654:G654"/>
    <mergeCell ref="A2870:G2870"/>
    <mergeCell ref="D482:G482"/>
    <mergeCell ref="A1083:G1083"/>
    <mergeCell ref="A1098:G1098"/>
    <mergeCell ref="D3234:G3234"/>
    <mergeCell ref="D805:G805"/>
    <mergeCell ref="A380:G380"/>
    <mergeCell ref="A1406:G1406"/>
    <mergeCell ref="A372:G372"/>
    <mergeCell ref="D378:G378"/>
    <mergeCell ref="A3253:G3253"/>
    <mergeCell ref="A801:G801"/>
    <mergeCell ref="A1737:G1737"/>
    <mergeCell ref="A382:G382"/>
    <mergeCell ref="A338:G338"/>
    <mergeCell ref="A680:G680"/>
    <mergeCell ref="A2071:G2071"/>
    <mergeCell ref="D1439:G1439"/>
    <mergeCell ref="D1561:G1561"/>
    <mergeCell ref="A2065:G2065"/>
    <mergeCell ref="A672:G672"/>
    <mergeCell ref="A794:G794"/>
    <mergeCell ref="A2581:G2581"/>
    <mergeCell ref="A2500:G2500"/>
    <mergeCell ref="A2278:C2278"/>
    <mergeCell ref="A2494:G2494"/>
    <mergeCell ref="A1101:G1101"/>
    <mergeCell ref="A1859:C1859"/>
    <mergeCell ref="A2792:G2792"/>
    <mergeCell ref="A707:G707"/>
    <mergeCell ref="A340:G340"/>
    <mergeCell ref="A1399:G1399"/>
    <mergeCell ref="A2037:G2037"/>
    <mergeCell ref="D677:G677"/>
    <mergeCell ref="A2798:G2798"/>
    <mergeCell ref="A2073:G2073"/>
    <mergeCell ref="A2950:G2950"/>
    <mergeCell ref="A2371:G2371"/>
    <mergeCell ref="A2669:G2669"/>
    <mergeCell ref="A252:G252"/>
    <mergeCell ref="A3250:G3250"/>
    <mergeCell ref="A2495:G2495"/>
    <mergeCell ref="A66:G66"/>
    <mergeCell ref="A2068:G2068"/>
    <mergeCell ref="A698:G698"/>
    <mergeCell ref="A3281:G3281"/>
    <mergeCell ref="A1152:G1152"/>
    <mergeCell ref="A1127:G1127"/>
    <mergeCell ref="A2512:G2512"/>
    <mergeCell ref="D1492:G1492"/>
    <mergeCell ref="D221:G221"/>
    <mergeCell ref="A388:C388"/>
    <mergeCell ref="A2213:G2213"/>
    <mergeCell ref="D2219:G2219"/>
    <mergeCell ref="A2968:G2968"/>
    <mergeCell ref="A3149:G3149"/>
    <mergeCell ref="A122:G122"/>
    <mergeCell ref="A1452:G1452"/>
    <mergeCell ref="A817:C817"/>
    <mergeCell ref="A420:G420"/>
    <mergeCell ref="A1572:C1572"/>
    <mergeCell ref="A1750:G1750"/>
    <mergeCell ref="A56:C56"/>
    <mergeCell ref="A2505:G2505"/>
    <mergeCell ref="A1786:G1786"/>
    <mergeCell ref="A1025:G1025"/>
    <mergeCell ref="A2215:G2215"/>
    <mergeCell ref="D1195:G1195"/>
    <mergeCell ref="A2513:G2513"/>
    <mergeCell ref="A1454:G1454"/>
    <mergeCell ref="A3151:G3151"/>
    <mergeCell ref="A1752:G1752"/>
    <mergeCell ref="A2969:G2969"/>
    <mergeCell ref="A3263:C3263"/>
    <mergeCell ref="A2208:G2208"/>
    <mergeCell ref="A3451:G3451"/>
    <mergeCell ref="A2394:G2394"/>
    <mergeCell ref="A2210:G2210"/>
    <mergeCell ref="D3275:G3275"/>
    <mergeCell ref="A2239:G2239"/>
    <mergeCell ref="A1478:G1478"/>
    <mergeCell ref="A1812:G1812"/>
    <mergeCell ref="A753:G753"/>
    <mergeCell ref="A2996:G2996"/>
    <mergeCell ref="A1349:G1349"/>
    <mergeCell ref="A2241:G2241"/>
    <mergeCell ref="A2564:G2564"/>
    <mergeCell ref="A1209:G1209"/>
    <mergeCell ref="D1932:G1932"/>
    <mergeCell ref="A2539:G2539"/>
    <mergeCell ref="A1507:G1507"/>
    <mergeCell ref="D145:G145"/>
    <mergeCell ref="A448:G448"/>
    <mergeCell ref="A752:G752"/>
    <mergeCell ref="A746:G746"/>
    <mergeCell ref="A1778:G1778"/>
    <mergeCell ref="A1204:C1204"/>
    <mergeCell ref="A27:G27"/>
    <mergeCell ref="A2566:G2566"/>
    <mergeCell ref="A2541:G2541"/>
    <mergeCell ref="A456:G456"/>
    <mergeCell ref="A2864:G2864"/>
    <mergeCell ref="A1509:G1509"/>
    <mergeCell ref="A754:G754"/>
    <mergeCell ref="A2839:G2839"/>
    <mergeCell ref="A2990:C2990"/>
    <mergeCell ref="A1052:G1052"/>
    <mergeCell ref="A3198:G3198"/>
    <mergeCell ref="A3432:G3432"/>
    <mergeCell ref="A2866:G2866"/>
    <mergeCell ref="A2893:G2893"/>
    <mergeCell ref="A1834:G1834"/>
    <mergeCell ref="A1809:G1809"/>
    <mergeCell ref="A3164:G3164"/>
    <mergeCell ref="A2107:G2107"/>
    <mergeCell ref="A3200:G3200"/>
    <mergeCell ref="A893:G893"/>
    <mergeCell ref="D2592:G2592"/>
    <mergeCell ref="A2895:G2895"/>
    <mergeCell ref="A1379:G1379"/>
    <mergeCell ref="A1865:G1865"/>
    <mergeCell ref="A1186:C1186"/>
    <mergeCell ref="A764:G764"/>
    <mergeCell ref="A9:G9"/>
    <mergeCell ref="A167:G167"/>
    <mergeCell ref="A1193:G1193"/>
    <mergeCell ref="A2165:G2165"/>
    <mergeCell ref="A1404:G1404"/>
    <mergeCell ref="A3040:G3040"/>
    <mergeCell ref="A2279:G2279"/>
    <mergeCell ref="A2254:G2254"/>
    <mergeCell ref="A169:G169"/>
    <mergeCell ref="A2577:G2577"/>
    <mergeCell ref="A467:G467"/>
    <mergeCell ref="A461:G461"/>
    <mergeCell ref="A3226:G3226"/>
    <mergeCell ref="D1348:G1348"/>
    <mergeCell ref="D1864:G1864"/>
    <mergeCell ref="A2465:G2465"/>
    <mergeCell ref="A678:G678"/>
    <mergeCell ref="A3343:C3343"/>
    <mergeCell ref="A2579:G2579"/>
    <mergeCell ref="A1969:C1969"/>
    <mergeCell ref="A2166:G2166"/>
    <mergeCell ref="A2877:G2877"/>
    <mergeCell ref="A2160:G2160"/>
    <mergeCell ref="A3192:G3192"/>
    <mergeCell ref="A3219:G3219"/>
    <mergeCell ref="D2164:G2164"/>
    <mergeCell ref="A978:G978"/>
    <mergeCell ref="D3375:G3375"/>
    <mergeCell ref="D2620:G2620"/>
    <mergeCell ref="A1853:G1853"/>
    <mergeCell ref="D1859:G1859"/>
    <mergeCell ref="A3221:G3221"/>
    <mergeCell ref="A2151:G2151"/>
    <mergeCell ref="A1092:G1092"/>
    <mergeCell ref="A823:G823"/>
    <mergeCell ref="D1131:G1131"/>
    <mergeCell ref="A179:G179"/>
    <mergeCell ref="A1429:C1429"/>
    <mergeCell ref="A1878:G1878"/>
    <mergeCell ref="A91:G91"/>
    <mergeCell ref="A389:G389"/>
    <mergeCell ref="A660:G660"/>
    <mergeCell ref="A2605:G2605"/>
    <mergeCell ref="A2903:G2903"/>
    <mergeCell ref="A180:G180"/>
    <mergeCell ref="A696:G696"/>
    <mergeCell ref="A818:G818"/>
    <mergeCell ref="A994:G994"/>
    <mergeCell ref="A2939:G2939"/>
    <mergeCell ref="A1880:G1880"/>
    <mergeCell ref="A1125:G1125"/>
    <mergeCell ref="A93:G93"/>
    <mergeCell ref="A1423:G1423"/>
    <mergeCell ref="A391:G391"/>
    <mergeCell ref="A1721:G1721"/>
    <mergeCell ref="A2336:G2336"/>
    <mergeCell ref="A2607:G2607"/>
    <mergeCell ref="A820:G820"/>
    <mergeCell ref="A1873:G1873"/>
    <mergeCell ref="A1118:G1118"/>
    <mergeCell ref="D2760:G2760"/>
    <mergeCell ref="D1149:G1149"/>
    <mergeCell ref="D388:G388"/>
    <mergeCell ref="A691:G691"/>
    <mergeCell ref="A2934:G2934"/>
    <mergeCell ref="D1572:G1572"/>
    <mergeCell ref="D817:G817"/>
    <mergeCell ref="A1120:G1120"/>
    <mergeCell ref="A2179:G2179"/>
    <mergeCell ref="A3265:G3265"/>
    <mergeCell ref="D548:G548"/>
    <mergeCell ref="A75:G75"/>
    <mergeCell ref="A2907:G2907"/>
    <mergeCell ref="A2020:G2020"/>
    <mergeCell ref="A2318:G2318"/>
    <mergeCell ref="A233:G233"/>
    <mergeCell ref="A409:G409"/>
    <mergeCell ref="A531:G531"/>
    <mergeCell ref="A2237:G2237"/>
    <mergeCell ref="A3290:G3290"/>
    <mergeCell ref="A1593:G1593"/>
    <mergeCell ref="A838:G838"/>
    <mergeCell ref="A2535:G2535"/>
    <mergeCell ref="A1136:G1136"/>
    <mergeCell ref="A3081:G3081"/>
    <mergeCell ref="A104:G104"/>
    <mergeCell ref="A3379:G3379"/>
    <mergeCell ref="A1294:G1294"/>
    <mergeCell ref="A235:G235"/>
    <mergeCell ref="A1810:G1810"/>
    <mergeCell ref="A533:G533"/>
    <mergeCell ref="A831:G831"/>
    <mergeCell ref="A221:C221"/>
    <mergeCell ref="A3292:G3292"/>
    <mergeCell ref="A2537:G2537"/>
    <mergeCell ref="A1505:G1505"/>
    <mergeCell ref="D1177:G1177"/>
    <mergeCell ref="A2835:G2835"/>
    <mergeCell ref="A1803:G1803"/>
    <mergeCell ref="A106:G106"/>
    <mergeCell ref="A744:G744"/>
    <mergeCell ref="A826:C826"/>
    <mergeCell ref="A404:G404"/>
    <mergeCell ref="D993:G993"/>
    <mergeCell ref="A1296:G1296"/>
    <mergeCell ref="A1594:G1594"/>
    <mergeCell ref="A2110:G2110"/>
    <mergeCell ref="A2232:G2232"/>
    <mergeCell ref="A1892:G1892"/>
    <mergeCell ref="A833:G833"/>
    <mergeCell ref="A2314:C2314"/>
    <mergeCell ref="A2408:G2408"/>
    <mergeCell ref="A3291:G3291"/>
    <mergeCell ref="A2837:G2837"/>
    <mergeCell ref="A1195:C1195"/>
    <mergeCell ref="A2995:G2995"/>
    <mergeCell ref="A289:G289"/>
    <mergeCell ref="D2990:G2990"/>
    <mergeCell ref="A3293:G3293"/>
    <mergeCell ref="A130:G130"/>
    <mergeCell ref="A740:C740"/>
    <mergeCell ref="D1960:G1960"/>
    <mergeCell ref="A1950:G1950"/>
    <mergeCell ref="A1189:G1189"/>
    <mergeCell ref="A1487:G1487"/>
    <mergeCell ref="A1645:G1645"/>
    <mergeCell ref="A1821:G1821"/>
    <mergeCell ref="A3005:G3005"/>
    <mergeCell ref="A920:G920"/>
    <mergeCell ref="A2250:G2250"/>
    <mergeCell ref="A1218:G1218"/>
    <mergeCell ref="A463:G463"/>
    <mergeCell ref="A1489:G1489"/>
    <mergeCell ref="A1516:G1516"/>
    <mergeCell ref="A2548:G2548"/>
    <mergeCell ref="A539:C539"/>
    <mergeCell ref="A1647:G1647"/>
    <mergeCell ref="A1823:G1823"/>
    <mergeCell ref="A1945:G1945"/>
    <mergeCell ref="D2704:G2704"/>
    <mergeCell ref="A2252:G2252"/>
    <mergeCell ref="A2550:G2550"/>
    <mergeCell ref="A465:G465"/>
    <mergeCell ref="A1518:G1518"/>
    <mergeCell ref="A763:G763"/>
    <mergeCell ref="D2583:G2583"/>
    <mergeCell ref="A2708:G2708"/>
    <mergeCell ref="A1061:G1061"/>
    <mergeCell ref="A2:G2"/>
    <mergeCell ref="A3006:G3006"/>
    <mergeCell ref="A1947:G1947"/>
    <mergeCell ref="A3000:G3000"/>
    <mergeCell ref="A2245:G2245"/>
    <mergeCell ref="A2373:G2373"/>
    <mergeCell ref="A3217:G3217"/>
    <mergeCell ref="A1818:G1818"/>
    <mergeCell ref="A3008:G3008"/>
    <mergeCell ref="D3343:G3343"/>
    <mergeCell ref="A3306:G3306"/>
    <mergeCell ref="A3362:G3362"/>
    <mergeCell ref="A3033:G3033"/>
    <mergeCell ref="A1963:G1963"/>
    <mergeCell ref="A904:G904"/>
    <mergeCell ref="A1246:G1246"/>
    <mergeCell ref="A2601:G2601"/>
    <mergeCell ref="A176:G176"/>
    <mergeCell ref="A1544:G1544"/>
    <mergeCell ref="A783:G783"/>
    <mergeCell ref="A1658:G1658"/>
    <mergeCell ref="A64:G64"/>
    <mergeCell ref="A3364:G3364"/>
    <mergeCell ref="A3024:G3024"/>
    <mergeCell ref="A939:G939"/>
    <mergeCell ref="A1965:G1965"/>
    <mergeCell ref="A2630:G2630"/>
    <mergeCell ref="A2901:G2901"/>
    <mergeCell ref="A178:G178"/>
    <mergeCell ref="A816:G816"/>
    <mergeCell ref="D1243:G1243"/>
    <mergeCell ref="A476:G476"/>
    <mergeCell ref="A1114:G1114"/>
    <mergeCell ref="A2843:C2843"/>
    <mergeCell ref="D2427:G2427"/>
    <mergeCell ref="D2731:G2731"/>
    <mergeCell ref="A2937:G2937"/>
    <mergeCell ref="A3059:G3059"/>
    <mergeCell ref="A3357:G3357"/>
    <mergeCell ref="A1958:G1958"/>
    <mergeCell ref="A1203:G1203"/>
    <mergeCell ref="A2632:G2632"/>
    <mergeCell ref="A1877:G1877"/>
    <mergeCell ref="A3352:C3352"/>
    <mergeCell ref="A2930:G2930"/>
    <mergeCell ref="A2175:G2175"/>
    <mergeCell ref="A478:G478"/>
    <mergeCell ref="A1116:G1116"/>
    <mergeCell ref="A3359:G3359"/>
    <mergeCell ref="A595:C595"/>
    <mergeCell ref="A930:G930"/>
    <mergeCell ref="A1145:G1145"/>
    <mergeCell ref="A204:G204"/>
    <mergeCell ref="A1257:G1257"/>
    <mergeCell ref="A1252:C1252"/>
    <mergeCell ref="A3077:G3077"/>
    <mergeCell ref="A2018:G2018"/>
    <mergeCell ref="A2322:G2322"/>
    <mergeCell ref="A231:G231"/>
    <mergeCell ref="A206:G206"/>
    <mergeCell ref="A2614:G2614"/>
    <mergeCell ref="A1259:G1259"/>
    <mergeCell ref="A504:G504"/>
    <mergeCell ref="A2474:G2474"/>
    <mergeCell ref="A827:G827"/>
    <mergeCell ref="A802:G802"/>
    <mergeCell ref="A2650:G2650"/>
    <mergeCell ref="A2772:G2772"/>
    <mergeCell ref="A3070:G3070"/>
    <mergeCell ref="A1292:G1292"/>
    <mergeCell ref="A2345:G2345"/>
    <mergeCell ref="A2958:G2958"/>
    <mergeCell ref="A506:G506"/>
    <mergeCell ref="A829:G829"/>
    <mergeCell ref="A2774:G2774"/>
    <mergeCell ref="A3078:G3078"/>
    <mergeCell ref="A3072:G3072"/>
    <mergeCell ref="A2317:G2317"/>
    <mergeCell ref="D3111:G3111"/>
    <mergeCell ref="A103:G103"/>
    <mergeCell ref="A494:C494"/>
    <mergeCell ref="D3384:G3384"/>
    <mergeCell ref="A3372:G3372"/>
    <mergeCell ref="A1287:G1287"/>
    <mergeCell ref="A3103:G3103"/>
    <mergeCell ref="A128:G128"/>
    <mergeCell ref="A3403:G3403"/>
    <mergeCell ref="A426:G426"/>
    <mergeCell ref="A1318:G1318"/>
    <mergeCell ref="A1616:G1616"/>
    <mergeCell ref="A217:G217"/>
    <mergeCell ref="A855:G855"/>
    <mergeCell ref="A891:G891"/>
    <mergeCell ref="A136:G136"/>
    <mergeCell ref="A1162:G1162"/>
    <mergeCell ref="A2343:G2343"/>
    <mergeCell ref="A3430:G3430"/>
    <mergeCell ref="A3405:G3405"/>
    <mergeCell ref="D2070:G2070"/>
    <mergeCell ref="A1618:G1618"/>
    <mergeCell ref="A2335:G2335"/>
    <mergeCell ref="D2368:G2368"/>
    <mergeCell ref="A586:G586"/>
    <mergeCell ref="A857:G857"/>
    <mergeCell ref="A1916:G1916"/>
    <mergeCell ref="A2332:C2332"/>
    <mergeCell ref="A129:G129"/>
    <mergeCell ref="A1155:G1155"/>
    <mergeCell ref="A1191:G1191"/>
    <mergeCell ref="D1186:G1186"/>
    <mergeCell ref="A3459:G3459"/>
    <mergeCell ref="A1918:G1918"/>
    <mergeCell ref="A886:G886"/>
    <mergeCell ref="A131:G131"/>
    <mergeCell ref="A2216:G2216"/>
    <mergeCell ref="A3302:G3302"/>
    <mergeCell ref="A873:G873"/>
    <mergeCell ref="A263:C263"/>
    <mergeCell ref="D1312:G1312"/>
    <mergeCell ref="A276:G276"/>
    <mergeCell ref="A270:G270"/>
    <mergeCell ref="A568:G568"/>
    <mergeCell ref="A1242:G1242"/>
    <mergeCell ref="A2086:G2086"/>
    <mergeCell ref="A1331:G1331"/>
    <mergeCell ref="A576:G576"/>
    <mergeCell ref="A570:G570"/>
    <mergeCell ref="D2000:G2000"/>
    <mergeCell ref="A2303:G2303"/>
    <mergeCell ref="A1448:C1448"/>
    <mergeCell ref="A1542:G1542"/>
    <mergeCell ref="A3449:G3449"/>
    <mergeCell ref="A2732:G2732"/>
    <mergeCell ref="A2417:G2417"/>
    <mergeCell ref="A3030:G3030"/>
    <mergeCell ref="A1333:G1333"/>
    <mergeCell ref="A1656:G1656"/>
    <mergeCell ref="D636:G636"/>
    <mergeCell ref="A1631:G1631"/>
    <mergeCell ref="A1954:G1954"/>
    <mergeCell ref="A2690:G2690"/>
    <mergeCell ref="A3144:G3144"/>
    <mergeCell ref="A2603:G2603"/>
    <mergeCell ref="A55:G55"/>
    <mergeCell ref="A3330:G3330"/>
    <mergeCell ref="A3015:G3015"/>
    <mergeCell ref="A1956:G1956"/>
    <mergeCell ref="A2569:G2569"/>
    <mergeCell ref="A1321:C1321"/>
    <mergeCell ref="A3444:G3444"/>
    <mergeCell ref="A2834:C2834"/>
    <mergeCell ref="A1230:G1230"/>
    <mergeCell ref="A1987:G1987"/>
    <mergeCell ref="A200:G200"/>
    <mergeCell ref="A2443:G2443"/>
    <mergeCell ref="D3166:G3166"/>
    <mergeCell ref="A1044:G1044"/>
    <mergeCell ref="A1560:G1560"/>
    <mergeCell ref="A1980:G1980"/>
    <mergeCell ref="A3170:G3170"/>
    <mergeCell ref="A957:G957"/>
    <mergeCell ref="A202:G202"/>
    <mergeCell ref="A1255:G1255"/>
    <mergeCell ref="A500:G500"/>
    <mergeCell ref="A1553:G1553"/>
    <mergeCell ref="A798:G798"/>
    <mergeCell ref="A1690:G1690"/>
    <mergeCell ref="A2445:G2445"/>
    <mergeCell ref="A1684:G1684"/>
    <mergeCell ref="A1988:G1988"/>
    <mergeCell ref="A2743:G2743"/>
    <mergeCell ref="A1982:G1982"/>
    <mergeCell ref="D3195:G3195"/>
    <mergeCell ref="A502:G502"/>
    <mergeCell ref="A1461:C1461"/>
    <mergeCell ref="A800:G800"/>
    <mergeCell ref="A2745:G2745"/>
    <mergeCell ref="A3043:G3043"/>
    <mergeCell ref="A958:G958"/>
    <mergeCell ref="A1678:C1678"/>
    <mergeCell ref="A3341:G3341"/>
    <mergeCell ref="A1256:G1256"/>
    <mergeCell ref="A1685:G1685"/>
    <mergeCell ref="A3045:G3045"/>
    <mergeCell ref="A1258:G1258"/>
    <mergeCell ref="D2900:G2900"/>
    <mergeCell ref="A1700:G1700"/>
    <mergeCell ref="A2301:G2301"/>
    <mergeCell ref="A3399:G3399"/>
    <mergeCell ref="A213:G213"/>
    <mergeCell ref="A2158:G2158"/>
    <mergeCell ref="A1099:G1099"/>
    <mergeCell ref="A1403:G1403"/>
    <mergeCell ref="A2456:G2456"/>
    <mergeCell ref="A1397:G1397"/>
    <mergeCell ref="A1695:G1695"/>
    <mergeCell ref="A940:G940"/>
    <mergeCell ref="A3401:G3401"/>
    <mergeCell ref="A2369:G2369"/>
    <mergeCell ref="A976:G976"/>
    <mergeCell ref="A366:C366"/>
    <mergeCell ref="A1392:C1392"/>
    <mergeCell ref="D667:G667"/>
    <mergeCell ref="A215:G215"/>
    <mergeCell ref="A935:C935"/>
    <mergeCell ref="A1274:G1274"/>
    <mergeCell ref="A513:G513"/>
    <mergeCell ref="A1614:G1614"/>
    <mergeCell ref="A1696:C1696"/>
    <mergeCell ref="A373:G373"/>
    <mergeCell ref="A1703:G1703"/>
    <mergeCell ref="A2458:G2458"/>
    <mergeCell ref="A671:G671"/>
    <mergeCell ref="A2756:G2756"/>
    <mergeCell ref="A3096:G3096"/>
    <mergeCell ref="A969:G969"/>
    <mergeCell ref="A3394:G3394"/>
    <mergeCell ref="A2675:G2675"/>
    <mergeCell ref="A2453:C2453"/>
    <mergeCell ref="A2973:G2973"/>
    <mergeCell ref="A1914:G1914"/>
    <mergeCell ref="A2967:G2967"/>
    <mergeCell ref="A882:G882"/>
    <mergeCell ref="A2212:G2212"/>
    <mergeCell ref="A1434:G1434"/>
    <mergeCell ref="A2909:C2909"/>
    <mergeCell ref="D2822:G2822"/>
    <mergeCell ref="A3396:G3396"/>
    <mergeCell ref="A673:G673"/>
    <mergeCell ref="A361:C361"/>
    <mergeCell ref="A790:C790"/>
    <mergeCell ref="A2670:G2670"/>
    <mergeCell ref="A2448:C2448"/>
    <mergeCell ref="A661:C661"/>
    <mergeCell ref="A1418:C1418"/>
    <mergeCell ref="D693:G693"/>
    <mergeCell ref="A241:G241"/>
    <mergeCell ref="D96:G96"/>
    <mergeCell ref="A355:G355"/>
    <mergeCell ref="A3114:G3114"/>
    <mergeCell ref="A1327:G1327"/>
    <mergeCell ref="A268:G268"/>
    <mergeCell ref="A243:G243"/>
    <mergeCell ref="A572:G572"/>
    <mergeCell ref="A566:G566"/>
    <mergeCell ref="A1302:G1302"/>
    <mergeCell ref="A1625:G1625"/>
    <mergeCell ref="A864:G864"/>
    <mergeCell ref="A2815:G2815"/>
    <mergeCell ref="A1416:G1416"/>
    <mergeCell ref="A3107:G3107"/>
    <mergeCell ref="A343:C343"/>
    <mergeCell ref="A2388:G2388"/>
    <mergeCell ref="A1329:G1329"/>
    <mergeCell ref="A2382:G2382"/>
    <mergeCell ref="A1925:G1925"/>
    <mergeCell ref="A677:C677"/>
    <mergeCell ref="A866:G866"/>
    <mergeCell ref="A2817:G2817"/>
    <mergeCell ref="A3115:G3115"/>
    <mergeCell ref="A3260:C3260"/>
    <mergeCell ref="A3109:G3109"/>
    <mergeCell ref="A1024:G1024"/>
    <mergeCell ref="A2390:G2390"/>
    <mergeCell ref="A2810:G2810"/>
    <mergeCell ref="A1927:G1927"/>
    <mergeCell ref="A895:G895"/>
    <mergeCell ref="A140:G140"/>
    <mergeCell ref="A2383:G2383"/>
    <mergeCell ref="A105:C105"/>
    <mergeCell ref="D2509:G2509"/>
    <mergeCell ref="A2812:G2812"/>
    <mergeCell ref="A2827:G2827"/>
    <mergeCell ref="D1321:G1321"/>
    <mergeCell ref="D20:G20"/>
    <mergeCell ref="A279:G279"/>
    <mergeCell ref="A1469:G1469"/>
    <mergeCell ref="A1767:G1767"/>
    <mergeCell ref="A1050:G1050"/>
    <mergeCell ref="A2219:C2219"/>
    <mergeCell ref="A2101:G2101"/>
    <mergeCell ref="A1164:G1164"/>
    <mergeCell ref="A287:G287"/>
    <mergeCell ref="A1042:G1042"/>
    <mergeCell ref="A1340:G1340"/>
    <mergeCell ref="A281:G281"/>
    <mergeCell ref="A623:G623"/>
    <mergeCell ref="A2530:G2530"/>
    <mergeCell ref="A921:G921"/>
    <mergeCell ref="A2739:G2739"/>
    <mergeCell ref="A1769:G1769"/>
    <mergeCell ref="D749:G749"/>
    <mergeCell ref="A2067:G2067"/>
    <mergeCell ref="A2741:G2741"/>
    <mergeCell ref="A1986:G1986"/>
    <mergeCell ref="A2401:G2401"/>
    <mergeCell ref="A316:G316"/>
    <mergeCell ref="A1342:G1342"/>
    <mergeCell ref="A3039:G3039"/>
    <mergeCell ref="D2565:G2565"/>
    <mergeCell ref="A2830:G2830"/>
    <mergeCell ref="A610:G610"/>
    <mergeCell ref="A2436:G2436"/>
    <mergeCell ref="D2863:G2863"/>
    <mergeCell ref="D1049:G1049"/>
    <mergeCell ref="A3128:G3128"/>
    <mergeCell ref="A282:G282"/>
    <mergeCell ref="A3041:G3041"/>
    <mergeCell ref="A3339:G3339"/>
    <mergeCell ref="A2520:C2520"/>
    <mergeCell ref="A1068:G1068"/>
    <mergeCell ref="A313:G313"/>
    <mergeCell ref="A307:G307"/>
    <mergeCell ref="A641:G641"/>
    <mergeCell ref="A8:G8"/>
    <mergeCell ref="A184:G184"/>
    <mergeCell ref="A342:G342"/>
    <mergeCell ref="A758:C758"/>
    <mergeCell ref="A3:C3"/>
    <mergeCell ref="A336:G336"/>
    <mergeCell ref="A911:G911"/>
    <mergeCell ref="A1368:G1368"/>
    <mergeCell ref="A1817:C1817"/>
    <mergeCell ref="D164:G164"/>
    <mergeCell ref="A10:G10"/>
    <mergeCell ref="A1401:G1401"/>
    <mergeCell ref="A2454:G2454"/>
    <mergeCell ref="A1699:G1699"/>
    <mergeCell ref="A344:G344"/>
    <mergeCell ref="A2752:G2752"/>
    <mergeCell ref="A1693:G1693"/>
    <mergeCell ref="A642:G642"/>
    <mergeCell ref="A1058:C1058"/>
    <mergeCell ref="A965:G965"/>
    <mergeCell ref="A1851:G1851"/>
    <mergeCell ref="D1523:G1523"/>
    <mergeCell ref="D2278:G2278"/>
    <mergeCell ref="A2149:G2149"/>
    <mergeCell ref="A3181:G3181"/>
    <mergeCell ref="A608:G608"/>
    <mergeCell ref="A2754:G2754"/>
    <mergeCell ref="A669:G669"/>
    <mergeCell ref="A3052:G3052"/>
    <mergeCell ref="A967:G967"/>
    <mergeCell ref="A332:C332"/>
    <mergeCell ref="D3222:G3222"/>
    <mergeCell ref="A288:C288"/>
    <mergeCell ref="A3210:G3210"/>
    <mergeCell ref="A1396:G1396"/>
    <mergeCell ref="A3213:C3213"/>
    <mergeCell ref="A781:G781"/>
    <mergeCell ref="A1267:G1267"/>
    <mergeCell ref="A326:G326"/>
    <mergeCell ref="A3207:G3207"/>
    <mergeCell ref="A239:G239"/>
    <mergeCell ref="A3199:G3199"/>
    <mergeCell ref="A2482:G2482"/>
    <mergeCell ref="A1412:G1412"/>
    <mergeCell ref="A57:G57"/>
    <mergeCell ref="A777:C777"/>
    <mergeCell ref="D1418:G1418"/>
    <mergeCell ref="A1532:C1532"/>
    <mergeCell ref="A2177:G2177"/>
    <mergeCell ref="A1300:G1300"/>
    <mergeCell ref="A1422:G1422"/>
    <mergeCell ref="A1107:G1107"/>
    <mergeCell ref="A1414:G1414"/>
    <mergeCell ref="A1756:G1756"/>
    <mergeCell ref="A2782:G2782"/>
    <mergeCell ref="A1712:G1712"/>
    <mergeCell ref="A2054:G2054"/>
    <mergeCell ref="A3231:C3231"/>
    <mergeCell ref="A1293:G1293"/>
    <mergeCell ref="A1722:G1722"/>
    <mergeCell ref="A1288:C1288"/>
    <mergeCell ref="A3113:G3113"/>
    <mergeCell ref="A47:C47"/>
    <mergeCell ref="D3260:G3260"/>
    <mergeCell ref="D1448:G1448"/>
    <mergeCell ref="A835:G835"/>
    <mergeCell ref="A401:C401"/>
    <mergeCell ref="A250:G250"/>
    <mergeCell ref="A2195:G2195"/>
    <mergeCell ref="A110:G110"/>
    <mergeCell ref="A1440:G1440"/>
    <mergeCell ref="A2493:G2493"/>
    <mergeCell ref="D105:G105"/>
    <mergeCell ref="A408:G408"/>
    <mergeCell ref="A3389:G3389"/>
    <mergeCell ref="A706:G706"/>
    <mergeCell ref="A3167:G3167"/>
    <mergeCell ref="A2922:G2922"/>
    <mergeCell ref="A837:G837"/>
    <mergeCell ref="A1135:G1135"/>
    <mergeCell ref="A3098:G3098"/>
    <mergeCell ref="A619:G619"/>
    <mergeCell ref="A1433:G1433"/>
    <mergeCell ref="A2526:G2526"/>
    <mergeCell ref="A3256:G3256"/>
    <mergeCell ref="A3133:G3133"/>
    <mergeCell ref="A1740:G1740"/>
    <mergeCell ref="A708:G708"/>
    <mergeCell ref="A1006:G1006"/>
    <mergeCell ref="A1137:G1137"/>
    <mergeCell ref="A527:C527"/>
    <mergeCell ref="A1435:G1435"/>
    <mergeCell ref="A2528:G2528"/>
    <mergeCell ref="A2826:G2826"/>
    <mergeCell ref="A1471:G1471"/>
    <mergeCell ref="A1794:G1794"/>
    <mergeCell ref="A2407:G2407"/>
    <mergeCell ref="A3124:G3124"/>
    <mergeCell ref="A2092:G2092"/>
    <mergeCell ref="A3162:G3162"/>
    <mergeCell ref="A1008:G1008"/>
    <mergeCell ref="A2521:G2521"/>
    <mergeCell ref="A2094:G2094"/>
    <mergeCell ref="D2404:G2404"/>
    <mergeCell ref="A2707:G2707"/>
    <mergeCell ref="A1064:G1064"/>
    <mergeCell ref="A1362:G1362"/>
    <mergeCell ref="A2552:G2552"/>
    <mergeCell ref="A1153:G1153"/>
    <mergeCell ref="A121:G121"/>
    <mergeCell ref="A2125:G2125"/>
    <mergeCell ref="A1066:G1066"/>
    <mergeCell ref="A1370:G1370"/>
    <mergeCell ref="A848:G848"/>
    <mergeCell ref="A1364:G1364"/>
    <mergeCell ref="A1662:G1662"/>
    <mergeCell ref="A2852:G2852"/>
    <mergeCell ref="A1820:G1820"/>
    <mergeCell ref="A1059:G1059"/>
    <mergeCell ref="A304:G304"/>
    <mergeCell ref="A2389:G2389"/>
    <mergeCell ref="A2249:G2249"/>
    <mergeCell ref="A2425:G2425"/>
    <mergeCell ref="A2723:G2723"/>
    <mergeCell ref="A638:G638"/>
    <mergeCell ref="A1664:G1664"/>
    <mergeCell ref="A632:G632"/>
    <mergeCell ref="A936:G936"/>
    <mergeCell ref="A2244:C2244"/>
    <mergeCell ref="A1822:G1822"/>
    <mergeCell ref="A1067:G1067"/>
    <mergeCell ref="A2542:C2542"/>
    <mergeCell ref="D1817:G1817"/>
    <mergeCell ref="D758:G758"/>
    <mergeCell ref="A1365:G1365"/>
    <mergeCell ref="A2120:G2120"/>
    <mergeCell ref="A3152:G3152"/>
    <mergeCell ref="A3450:G3450"/>
    <mergeCell ref="A3304:G3304"/>
    <mergeCell ref="A2413:C2413"/>
    <mergeCell ref="A177:G177"/>
    <mergeCell ref="D2574:G2574"/>
    <mergeCell ref="D2872:G2872"/>
    <mergeCell ref="A2420:G2420"/>
    <mergeCell ref="A335:G335"/>
    <mergeCell ref="D1058:G1058"/>
    <mergeCell ref="A2849:G2849"/>
    <mergeCell ref="A1504:G1504"/>
    <mergeCell ref="A628:C628"/>
    <mergeCell ref="D3002:G3002"/>
    <mergeCell ref="A3208:G3208"/>
    <mergeCell ref="A1838:G1838"/>
    <mergeCell ref="A3351:G3351"/>
    <mergeCell ref="A322:G322"/>
    <mergeCell ref="A1533:G1533"/>
    <mergeCell ref="A1804:G1804"/>
    <mergeCell ref="A17:G17"/>
    <mergeCell ref="A2138:G2138"/>
    <mergeCell ref="A1079:G1079"/>
    <mergeCell ref="A53:G53"/>
    <mergeCell ref="A324:G324"/>
    <mergeCell ref="A2776:G2776"/>
    <mergeCell ref="A622:G622"/>
    <mergeCell ref="A767:C767"/>
    <mergeCell ref="A1237:G1237"/>
    <mergeCell ref="D2264:G2264"/>
    <mergeCell ref="A3322:G3322"/>
    <mergeCell ref="A1535:G1535"/>
    <mergeCell ref="A780:G780"/>
    <mergeCell ref="D173:G173"/>
    <mergeCell ref="A1833:G1833"/>
    <mergeCell ref="A774:G774"/>
    <mergeCell ref="A19:G19"/>
    <mergeCell ref="A1078:G1078"/>
    <mergeCell ref="A1964:G1964"/>
    <mergeCell ref="A2262:G2262"/>
    <mergeCell ref="A2778:G2778"/>
    <mergeCell ref="A2050:G2050"/>
    <mergeCell ref="A353:G353"/>
    <mergeCell ref="A991:G991"/>
    <mergeCell ref="A2560:G2560"/>
    <mergeCell ref="A3076:G3076"/>
    <mergeCell ref="A3316:C3316"/>
    <mergeCell ref="A782:G782"/>
    <mergeCell ref="D1532:G1532"/>
    <mergeCell ref="A1080:G1080"/>
    <mergeCell ref="A1835:G1835"/>
    <mergeCell ref="A2473:G2473"/>
    <mergeCell ref="A48:G48"/>
    <mergeCell ref="A1523:C1523"/>
    <mergeCell ref="D2722:G2722"/>
    <mergeCell ref="A2713:C2713"/>
    <mergeCell ref="A2052:G2052"/>
    <mergeCell ref="A477:G477"/>
    <mergeCell ref="A2562:G2562"/>
    <mergeCell ref="A2350:G2350"/>
    <mergeCell ref="D3231:G3231"/>
    <mergeCell ref="A79:G79"/>
    <mergeCell ref="A1219:G1219"/>
    <mergeCell ref="A2191:G2191"/>
    <mergeCell ref="A37:G37"/>
    <mergeCell ref="A379:G379"/>
    <mergeCell ref="A702:G702"/>
    <mergeCell ref="A3216:G3216"/>
    <mergeCell ref="A493:G493"/>
    <mergeCell ref="A3252:G3252"/>
    <mergeCell ref="A2497:G2497"/>
    <mergeCell ref="A1438:G1438"/>
    <mergeCell ref="A3374:G3374"/>
    <mergeCell ref="A1465:G1465"/>
    <mergeCell ref="A406:G406"/>
    <mergeCell ref="A381:G381"/>
    <mergeCell ref="A1220:G1220"/>
    <mergeCell ref="A704:G704"/>
    <mergeCell ref="A679:G679"/>
    <mergeCell ref="A1736:G1736"/>
    <mergeCell ref="A1856:C1856"/>
    <mergeCell ref="D2346:G2346"/>
    <mergeCell ref="A2491:G2491"/>
    <mergeCell ref="A2192:G2192"/>
    <mergeCell ref="A2649:G2649"/>
    <mergeCell ref="A2583:C2583"/>
    <mergeCell ref="A2186:G2186"/>
    <mergeCell ref="A793:G793"/>
    <mergeCell ref="A2677:G2677"/>
    <mergeCell ref="A2947:G2947"/>
    <mergeCell ref="A3245:G3245"/>
    <mergeCell ref="A3376:G3376"/>
    <mergeCell ref="A1467:G1467"/>
    <mergeCell ref="A1738:G1738"/>
    <mergeCell ref="A1765:G1765"/>
    <mergeCell ref="A3240:C3240"/>
    <mergeCell ref="A1759:G1759"/>
    <mergeCell ref="A2949:G2949"/>
    <mergeCell ref="A667:C667"/>
    <mergeCell ref="A2492:G2492"/>
    <mergeCell ref="A3247:G3247"/>
    <mergeCell ref="A63:G63"/>
    <mergeCell ref="A1889:G1889"/>
    <mergeCell ref="A1304:G1304"/>
    <mergeCell ref="A92:G92"/>
    <mergeCell ref="A2631:G2631"/>
    <mergeCell ref="A546:G546"/>
    <mergeCell ref="A1755:C1755"/>
    <mergeCell ref="A844:G844"/>
    <mergeCell ref="A2965:G2965"/>
    <mergeCell ref="A1906:G1906"/>
    <mergeCell ref="A1151:G1151"/>
    <mergeCell ref="A1600:C1600"/>
    <mergeCell ref="A119:G119"/>
    <mergeCell ref="A94:G94"/>
    <mergeCell ref="A1449:G1449"/>
    <mergeCell ref="A417:G417"/>
    <mergeCell ref="A1922:G1922"/>
    <mergeCell ref="A1607:G1607"/>
    <mergeCell ref="A2633:G2633"/>
    <mergeCell ref="A846:G846"/>
    <mergeCell ref="D518:G518"/>
    <mergeCell ref="A2214:G2214"/>
    <mergeCell ref="A1144:G1144"/>
    <mergeCell ref="A427:G427"/>
    <mergeCell ref="A3387:G3387"/>
    <mergeCell ref="A1180:G1180"/>
    <mergeCell ref="A1451:G1451"/>
    <mergeCell ref="A1793:G1793"/>
    <mergeCell ref="A2668:G2668"/>
    <mergeCell ref="A717:G717"/>
    <mergeCell ref="A1907:G1907"/>
    <mergeCell ref="D887:G887"/>
    <mergeCell ref="A2323:C2323"/>
    <mergeCell ref="A2205:G2205"/>
    <mergeCell ref="A1146:G1146"/>
    <mergeCell ref="A2545:G2545"/>
    <mergeCell ref="A418:G418"/>
    <mergeCell ref="A2879:G2879"/>
    <mergeCell ref="A1480:G1480"/>
    <mergeCell ref="A2932:G2932"/>
    <mergeCell ref="A719:G719"/>
    <mergeCell ref="A3384:C3384"/>
    <mergeCell ref="A748:G748"/>
    <mergeCell ref="A2207:G2207"/>
    <mergeCell ref="A3179:G3179"/>
    <mergeCell ref="A574:G574"/>
    <mergeCell ref="A872:G872"/>
    <mergeCell ref="A1897:C1897"/>
    <mergeCell ref="A1477:G1477"/>
    <mergeCell ref="A867:C867"/>
    <mergeCell ref="A445:G445"/>
    <mergeCell ref="A743:G743"/>
    <mergeCell ref="A874:G874"/>
    <mergeCell ref="A1178:G1178"/>
    <mergeCell ref="A1172:G1172"/>
    <mergeCell ref="A1531:G1531"/>
    <mergeCell ref="A1506:G1506"/>
    <mergeCell ref="A896:C896"/>
    <mergeCell ref="A1829:G1829"/>
    <mergeCell ref="A2258:G2258"/>
    <mergeCell ref="A1921:C1921"/>
    <mergeCell ref="A2294:G2294"/>
    <mergeCell ref="A2228:C2228"/>
    <mergeCell ref="A1831:G1831"/>
    <mergeCell ref="A2129:G2129"/>
    <mergeCell ref="A3021:G3021"/>
    <mergeCell ref="A3319:G3319"/>
    <mergeCell ref="A2260:G2260"/>
    <mergeCell ref="D3325:G3325"/>
    <mergeCell ref="A2131:G2131"/>
    <mergeCell ref="A3321:G3321"/>
    <mergeCell ref="D3316:G3316"/>
    <mergeCell ref="A3016:G3016"/>
    <mergeCell ref="A158:G158"/>
    <mergeCell ref="A587:G587"/>
    <mergeCell ref="A885:G885"/>
    <mergeCell ref="A3346:G3346"/>
    <mergeCell ref="A1981:C1981"/>
    <mergeCell ref="A2276:G2276"/>
    <mergeCell ref="A1559:G1559"/>
    <mergeCell ref="A2618:G2618"/>
    <mergeCell ref="A1857:G1857"/>
    <mergeCell ref="A160:G160"/>
    <mergeCell ref="A464:G464"/>
    <mergeCell ref="A2155:G2155"/>
    <mergeCell ref="D2744:G2744"/>
    <mergeCell ref="A3047:G3047"/>
    <mergeCell ref="A2286:G2286"/>
    <mergeCell ref="A1038:C1038"/>
    <mergeCell ref="A2368:C2368"/>
    <mergeCell ref="A2584:G2584"/>
    <mergeCell ref="A377:G377"/>
    <mergeCell ref="A3337:G3337"/>
    <mergeCell ref="A2891:G2891"/>
    <mergeCell ref="A2918:G2918"/>
    <mergeCell ref="A491:G491"/>
    <mergeCell ref="A1104:G1104"/>
    <mergeCell ref="A789:G789"/>
    <mergeCell ref="A72:G72"/>
    <mergeCell ref="A154:C154"/>
    <mergeCell ref="A1842:G1842"/>
    <mergeCell ref="A1979:G1979"/>
    <mergeCell ref="A2157:G2157"/>
    <mergeCell ref="A3347:G3347"/>
    <mergeCell ref="A2586:G2586"/>
    <mergeCell ref="A2613:G2613"/>
    <mergeCell ref="A1858:G1858"/>
    <mergeCell ref="A799:G799"/>
    <mergeCell ref="A1636:C1636"/>
    <mergeCell ref="A2920:G2920"/>
    <mergeCell ref="A3218:G3218"/>
    <mergeCell ref="A791:G791"/>
    <mergeCell ref="D1856:G1856"/>
    <mergeCell ref="A1089:G1089"/>
    <mergeCell ref="A1860:G1860"/>
    <mergeCell ref="A1875:G1875"/>
    <mergeCell ref="A61:G61"/>
    <mergeCell ref="A88:G88"/>
    <mergeCell ref="A359:G359"/>
    <mergeCell ref="D527:G527"/>
    <mergeCell ref="A2602:G2602"/>
    <mergeCell ref="A517:G517"/>
    <mergeCell ref="A1701:G1701"/>
    <mergeCell ref="A54:G54"/>
    <mergeCell ref="A2005:G2005"/>
    <mergeCell ref="D1696:G1696"/>
    <mergeCell ref="A1999:G1999"/>
    <mergeCell ref="A2297:G2297"/>
    <mergeCell ref="A90:G90"/>
    <mergeCell ref="A2971:G2971"/>
    <mergeCell ref="D971:G971"/>
    <mergeCell ref="A519:G519"/>
    <mergeCell ref="A1578:G1578"/>
    <mergeCell ref="A3053:C3053"/>
    <mergeCell ref="A3400:G3400"/>
    <mergeCell ref="A1115:G1115"/>
    <mergeCell ref="A2001:G2001"/>
    <mergeCell ref="A3358:G3358"/>
    <mergeCell ref="A1273:G1273"/>
    <mergeCell ref="A2299:G2299"/>
    <mergeCell ref="A512:G512"/>
    <mergeCell ref="A1110:C1110"/>
    <mergeCell ref="D2154:G2154"/>
    <mergeCell ref="A2658:G2658"/>
    <mergeCell ref="A3271:G3271"/>
    <mergeCell ref="D3266:G3266"/>
    <mergeCell ref="A1117:G1117"/>
    <mergeCell ref="A805:C805"/>
    <mergeCell ref="D1727:G1727"/>
    <mergeCell ref="A2750:C2750"/>
    <mergeCell ref="A3385:G3385"/>
    <mergeCell ref="D1270:G1270"/>
    <mergeCell ref="A1573:G1573"/>
    <mergeCell ref="A2964:G2964"/>
    <mergeCell ref="D2332:G2332"/>
    <mergeCell ref="A378:C378"/>
    <mergeCell ref="D1481:G1481"/>
    <mergeCell ref="A3272:G3272"/>
    <mergeCell ref="A230:G230"/>
    <mergeCell ref="A3287:G3287"/>
    <mergeCell ref="A1202:G1202"/>
    <mergeCell ref="A143:G143"/>
    <mergeCell ref="A1291:G1291"/>
    <mergeCell ref="A232:G232"/>
    <mergeCell ref="A1929:G1929"/>
    <mergeCell ref="A530:G530"/>
    <mergeCell ref="A3195:C3195"/>
    <mergeCell ref="A3289:G3289"/>
    <mergeCell ref="A1714:G1714"/>
    <mergeCell ref="A1502:G1502"/>
    <mergeCell ref="A1800:G1800"/>
    <mergeCell ref="A225:G225"/>
    <mergeCell ref="A2686:G2686"/>
    <mergeCell ref="A1931:G1931"/>
    <mergeCell ref="A1709:C1709"/>
    <mergeCell ref="A2984:G2984"/>
    <mergeCell ref="A1591:G1591"/>
    <mergeCell ref="A532:G532"/>
    <mergeCell ref="D571:G571"/>
    <mergeCell ref="A2229:G2229"/>
    <mergeCell ref="A1468:G1468"/>
    <mergeCell ref="A858:C858"/>
    <mergeCell ref="A2527:G2527"/>
    <mergeCell ref="A3282:G3282"/>
    <mergeCell ref="A518:C518"/>
    <mergeCell ref="A3413:G3413"/>
    <mergeCell ref="A1626:G1626"/>
    <mergeCell ref="A3419:G3419"/>
    <mergeCell ref="A1802:G1802"/>
    <mergeCell ref="A2100:G2100"/>
    <mergeCell ref="A2231:G2231"/>
    <mergeCell ref="A2680:C2680"/>
    <mergeCell ref="D896:G896"/>
    <mergeCell ref="A444:G444"/>
    <mergeCell ref="A2529:G2529"/>
    <mergeCell ref="A3442:G3442"/>
    <mergeCell ref="A2687:G2687"/>
    <mergeCell ref="A2985:G2985"/>
    <mergeCell ref="A1926:G1926"/>
    <mergeCell ref="A1492:C1492"/>
    <mergeCell ref="A2987:G2987"/>
    <mergeCell ref="A3429:G3429"/>
    <mergeCell ref="A1344:G1344"/>
    <mergeCell ref="A881:G881"/>
    <mergeCell ref="A2247:G2247"/>
    <mergeCell ref="A460:G460"/>
    <mergeCell ref="A454:G454"/>
    <mergeCell ref="A1644:G1644"/>
    <mergeCell ref="A2282:G2282"/>
    <mergeCell ref="A612:G612"/>
    <mergeCell ref="A883:G883"/>
    <mergeCell ref="A1942:G1942"/>
    <mergeCell ref="A2828:G2828"/>
    <mergeCell ref="A1181:G1181"/>
    <mergeCell ref="A155:G155"/>
    <mergeCell ref="A2616:G2616"/>
    <mergeCell ref="A1041:G1041"/>
    <mergeCell ref="A3126:G3126"/>
    <mergeCell ref="A2914:G2914"/>
    <mergeCell ref="A1217:G1217"/>
    <mergeCell ref="A3132:G3132"/>
    <mergeCell ref="A3424:G3424"/>
    <mergeCell ref="A1515:G1515"/>
    <mergeCell ref="D3157:G3157"/>
    <mergeCell ref="A2705:G2705"/>
    <mergeCell ref="A3003:G3003"/>
    <mergeCell ref="A1944:G1944"/>
    <mergeCell ref="A2582:G2582"/>
    <mergeCell ref="A912:G912"/>
    <mergeCell ref="A157:G157"/>
    <mergeCell ref="A2242:G2242"/>
    <mergeCell ref="A2102:G2102"/>
    <mergeCell ref="A455:G455"/>
    <mergeCell ref="A2822:C2822"/>
    <mergeCell ref="A2400:G2400"/>
    <mergeCell ref="D1038:G1038"/>
    <mergeCell ref="A2916:G2916"/>
    <mergeCell ref="A2698:G2698"/>
    <mergeCell ref="A1639:G1639"/>
    <mergeCell ref="A884:G884"/>
    <mergeCell ref="A3214:G3214"/>
    <mergeCell ref="A2611:G2611"/>
    <mergeCell ref="A1212:G1212"/>
    <mergeCell ref="A457:G457"/>
    <mergeCell ref="A1932:C1932"/>
    <mergeCell ref="A2402:G2402"/>
    <mergeCell ref="A2700:G2700"/>
    <mergeCell ref="D1951:G1951"/>
    <mergeCell ref="A1057:G1057"/>
    <mergeCell ref="A1670:G1670"/>
    <mergeCell ref="A1541:G1541"/>
    <mergeCell ref="A1672:G1672"/>
    <mergeCell ref="A1357:G1357"/>
    <mergeCell ref="A602:G602"/>
    <mergeCell ref="A1360:C1360"/>
    <mergeCell ref="A1970:G1970"/>
    <mergeCell ref="A596:G596"/>
    <mergeCell ref="A1236:G1236"/>
    <mergeCell ref="A2329:G2329"/>
    <mergeCell ref="A2084:G2084"/>
    <mergeCell ref="A2758:G2758"/>
    <mergeCell ref="A1231:C1231"/>
    <mergeCell ref="A3056:G3056"/>
    <mergeCell ref="A1997:G1997"/>
    <mergeCell ref="A604:G604"/>
    <mergeCell ref="D1669:G1669"/>
    <mergeCell ref="A631:G631"/>
    <mergeCell ref="A902:G902"/>
    <mergeCell ref="A185:G185"/>
    <mergeCell ref="A2295:G2295"/>
    <mergeCell ref="A508:G508"/>
    <mergeCell ref="A483:G483"/>
    <mergeCell ref="D935:G935"/>
    <mergeCell ref="A2331:G2331"/>
    <mergeCell ref="A2744:C2744"/>
    <mergeCell ref="A2629:G2629"/>
    <mergeCell ref="A1874:G1874"/>
    <mergeCell ref="A2751:G2751"/>
    <mergeCell ref="A3145:G3145"/>
    <mergeCell ref="A2172:G2172"/>
    <mergeCell ref="D332:G332"/>
    <mergeCell ref="A597:G597"/>
    <mergeCell ref="D2755:G2755"/>
    <mergeCell ref="A3058:G3058"/>
    <mergeCell ref="D3053:G3053"/>
    <mergeCell ref="A3356:G3356"/>
    <mergeCell ref="A636:C636"/>
    <mergeCell ref="A1569:G1569"/>
    <mergeCell ref="A2324:G2324"/>
    <mergeCell ref="A2595:G2595"/>
    <mergeCell ref="A170:G170"/>
    <mergeCell ref="A2753:G2753"/>
    <mergeCell ref="A2929:G2929"/>
    <mergeCell ref="A1571:G1571"/>
    <mergeCell ref="D3213:G3213"/>
    <mergeCell ref="A956:G956"/>
    <mergeCell ref="A201:G201"/>
    <mergeCell ref="D2750:G2750"/>
    <mergeCell ref="A20:C20"/>
    <mergeCell ref="D2323:G2323"/>
    <mergeCell ref="D777:G777"/>
    <mergeCell ref="A1716:G1716"/>
    <mergeCell ref="A2769:G2769"/>
    <mergeCell ref="A2008:G2008"/>
    <mergeCell ref="A1373:C1373"/>
    <mergeCell ref="A196:G196"/>
    <mergeCell ref="A2044:G2044"/>
    <mergeCell ref="A2657:G2657"/>
    <mergeCell ref="A1283:G1283"/>
    <mergeCell ref="D1077:G1077"/>
    <mergeCell ref="A1587:G1587"/>
    <mergeCell ref="A3409:G3409"/>
    <mergeCell ref="A2016:G2016"/>
    <mergeCell ref="A3069:G3069"/>
    <mergeCell ref="A984:G984"/>
    <mergeCell ref="D352:G352"/>
    <mergeCell ref="A2010:G2010"/>
    <mergeCell ref="A1282:G1282"/>
    <mergeCell ref="A223:G223"/>
    <mergeCell ref="A647:C647"/>
    <mergeCell ref="D1288:G1288"/>
    <mergeCell ref="D2049:G2049"/>
    <mergeCell ref="A2352:G2352"/>
    <mergeCell ref="A2344:G2344"/>
    <mergeCell ref="D2478:G2478"/>
    <mergeCell ref="D867:G867"/>
    <mergeCell ref="A3222:C3222"/>
    <mergeCell ref="A3438:G3438"/>
    <mergeCell ref="A2045:G2045"/>
    <mergeCell ref="A3071:G3071"/>
    <mergeCell ref="A1284:G1284"/>
    <mergeCell ref="A254:G254"/>
    <mergeCell ref="A1713:G1713"/>
    <mergeCell ref="A2983:G2983"/>
    <mergeCell ref="A1584:G1584"/>
    <mergeCell ref="A554:G554"/>
    <mergeCell ref="A2797:G2797"/>
    <mergeCell ref="A3095:G3095"/>
    <mergeCell ref="A1010:G1010"/>
    <mergeCell ref="A2036:G2036"/>
    <mergeCell ref="A127:G127"/>
    <mergeCell ref="A1615:G1615"/>
    <mergeCell ref="A1913:G1913"/>
    <mergeCell ref="A854:G854"/>
    <mergeCell ref="A1303:C1303"/>
    <mergeCell ref="A2799:G2799"/>
    <mergeCell ref="A3097:G3097"/>
    <mergeCell ref="A1012:G1012"/>
    <mergeCell ref="A257:G257"/>
    <mergeCell ref="A2342:G2342"/>
    <mergeCell ref="A1310:G1310"/>
    <mergeCell ref="A555:G555"/>
    <mergeCell ref="A2487:C2487"/>
    <mergeCell ref="A1608:G1608"/>
    <mergeCell ref="A549:G549"/>
    <mergeCell ref="A2701:G2701"/>
    <mergeCell ref="A3130:G3130"/>
    <mergeCell ref="A3428:G3428"/>
    <mergeCell ref="A3422:G3422"/>
    <mergeCell ref="A1337:G1337"/>
    <mergeCell ref="D3461:G3461"/>
    <mergeCell ref="A1610:G1610"/>
    <mergeCell ref="A2703:G2703"/>
    <mergeCell ref="A3001:G3001"/>
    <mergeCell ref="A3123:G3123"/>
    <mergeCell ref="A3299:G3299"/>
    <mergeCell ref="A2398:G2398"/>
    <mergeCell ref="D3148:G3148"/>
    <mergeCell ref="A2696:G2696"/>
    <mergeCell ref="A2061:C2061"/>
    <mergeCell ref="A3125:G3125"/>
    <mergeCell ref="A267:G267"/>
    <mergeCell ref="A2510:G2510"/>
    <mergeCell ref="A425:G425"/>
    <mergeCell ref="A723:G723"/>
    <mergeCell ref="A2667:G2667"/>
    <mergeCell ref="A1668:G1668"/>
    <mergeCell ref="A1328:G1328"/>
    <mergeCell ref="A269:G269"/>
    <mergeCell ref="A3156:G3156"/>
    <mergeCell ref="A2961:C2961"/>
    <mergeCell ref="A725:G725"/>
    <mergeCell ref="A1241:G1241"/>
    <mergeCell ref="A2055:G2055"/>
    <mergeCell ref="A1023:G1023"/>
    <mergeCell ref="A1661:G1661"/>
    <mergeCell ref="A262:G262"/>
    <mergeCell ref="A2414:G2414"/>
    <mergeCell ref="A1968:G1968"/>
    <mergeCell ref="A1234:G1234"/>
    <mergeCell ref="A3456:G3456"/>
    <mergeCell ref="A3141:G3141"/>
    <mergeCell ref="A2424:G2424"/>
    <mergeCell ref="D1360:G1360"/>
    <mergeCell ref="A1663:G1663"/>
    <mergeCell ref="A593:G593"/>
    <mergeCell ref="A3029:G3029"/>
    <mergeCell ref="A2714:G2714"/>
    <mergeCell ref="A1020:C1020"/>
    <mergeCell ref="A927:G927"/>
    <mergeCell ref="A3143:G3143"/>
    <mergeCell ref="D1231:G1231"/>
    <mergeCell ref="A3441:G3441"/>
    <mergeCell ref="A1356:G1356"/>
    <mergeCell ref="A1654:G1654"/>
    <mergeCell ref="A3022:G3022"/>
    <mergeCell ref="A1381:G1381"/>
    <mergeCell ref="A1679:G1679"/>
    <mergeCell ref="A2869:G2869"/>
    <mergeCell ref="A954:G954"/>
    <mergeCell ref="A497:G497"/>
    <mergeCell ref="A2740:G2740"/>
    <mergeCell ref="A655:G655"/>
    <mergeCell ref="A1681:G1681"/>
    <mergeCell ref="A1839:G1839"/>
    <mergeCell ref="A192:G192"/>
    <mergeCell ref="A3169:G3169"/>
    <mergeCell ref="A2137:G2137"/>
    <mergeCell ref="A1382:G1382"/>
    <mergeCell ref="A2435:G2435"/>
    <mergeCell ref="A1376:G1376"/>
    <mergeCell ref="A499:G499"/>
    <mergeCell ref="D2439:G2439"/>
    <mergeCell ref="A657:G657"/>
    <mergeCell ref="D1380:G1380"/>
    <mergeCell ref="A2742:G2742"/>
    <mergeCell ref="A955:G955"/>
    <mergeCell ref="A949:G949"/>
    <mergeCell ref="A194:G194"/>
    <mergeCell ref="A914:C914"/>
    <mergeCell ref="D944:G944"/>
    <mergeCell ref="A1253:G1253"/>
    <mergeCell ref="A1384:G1384"/>
    <mergeCell ref="A1669:C1669"/>
    <mergeCell ref="A1682:G1682"/>
    <mergeCell ref="A2139:G2139"/>
    <mergeCell ref="A2437:G2437"/>
    <mergeCell ref="A650:G650"/>
    <mergeCell ref="D1373:G1373"/>
    <mergeCell ref="A1676:G1676"/>
    <mergeCell ref="A2735:G2735"/>
    <mergeCell ref="A3157:C3157"/>
    <mergeCell ref="D1409:G1409"/>
    <mergeCell ref="A2966:G2966"/>
    <mergeCell ref="A2007:G2007"/>
    <mergeCell ref="A2737:G2737"/>
    <mergeCell ref="D647:G647"/>
    <mergeCell ref="D2890:G2890"/>
    <mergeCell ref="D1709:G1709"/>
    <mergeCell ref="A34:G34"/>
    <mergeCell ref="A639:G639"/>
    <mergeCell ref="A29:C29"/>
    <mergeCell ref="A2882:G2882"/>
    <mergeCell ref="A797:G797"/>
    <mergeCell ref="A1850:G1850"/>
    <mergeCell ref="A2366:G2366"/>
    <mergeCell ref="A36:G36"/>
    <mergeCell ref="A2795:G2795"/>
    <mergeCell ref="A3099:G3099"/>
    <mergeCell ref="A3093:G3093"/>
    <mergeCell ref="A370:G370"/>
    <mergeCell ref="A1845:C1845"/>
    <mergeCell ref="A3391:G3391"/>
    <mergeCell ref="A668:G668"/>
    <mergeCell ref="A1306:G1306"/>
    <mergeCell ref="A2884:G2884"/>
    <mergeCell ref="A205:G205"/>
    <mergeCell ref="A2150:G2150"/>
    <mergeCell ref="A1091:G1091"/>
    <mergeCell ref="A1395:G1395"/>
    <mergeCell ref="A1540:C1540"/>
    <mergeCell ref="A363:G363"/>
    <mergeCell ref="A634:G634"/>
    <mergeCell ref="A2666:G2666"/>
    <mergeCell ref="A2069:G2069"/>
    <mergeCell ref="A2788:G2788"/>
    <mergeCell ref="A2367:G2367"/>
    <mergeCell ref="A670:G670"/>
    <mergeCell ref="A1308:G1308"/>
    <mergeCell ref="A2145:C2145"/>
    <mergeCell ref="A968:G968"/>
    <mergeCell ref="A1606:G1606"/>
    <mergeCell ref="A2783:C2783"/>
    <mergeCell ref="A2796:G2796"/>
    <mergeCell ref="A2574:C2574"/>
    <mergeCell ref="D2487:G2487"/>
    <mergeCell ref="A2872:C2872"/>
    <mergeCell ref="A3094:G3094"/>
    <mergeCell ref="A365:G365"/>
    <mergeCell ref="A2064:G2064"/>
    <mergeCell ref="A1529:C1529"/>
    <mergeCell ref="A1324:G1324"/>
    <mergeCell ref="A2508:G2508"/>
    <mergeCell ref="A1753:G1753"/>
    <mergeCell ref="A2806:G2806"/>
    <mergeCell ref="A721:G721"/>
    <mergeCell ref="A1019:G1019"/>
    <mergeCell ref="A258:G258"/>
    <mergeCell ref="A3262:G3262"/>
    <mergeCell ref="A2081:G2081"/>
    <mergeCell ref="A2385:G2385"/>
    <mergeCell ref="A1624:G1624"/>
    <mergeCell ref="A1746:G1746"/>
    <mergeCell ref="A1782:G1782"/>
    <mergeCell ref="A2053:G2053"/>
    <mergeCell ref="A2808:G2808"/>
    <mergeCell ref="A2080:G2080"/>
    <mergeCell ref="A1021:G1021"/>
    <mergeCell ref="A266:G266"/>
    <mergeCell ref="A1659:G1659"/>
    <mergeCell ref="A1319:G1319"/>
    <mergeCell ref="A260:G260"/>
    <mergeCell ref="A564:G564"/>
    <mergeCell ref="A1741:C1741"/>
    <mergeCell ref="A2211:G2211"/>
    <mergeCell ref="D2244:G2244"/>
    <mergeCell ref="A2351:G2351"/>
    <mergeCell ref="A1748:G1748"/>
    <mergeCell ref="A2503:G2503"/>
    <mergeCell ref="D2542:G2542"/>
    <mergeCell ref="D2961:G2961"/>
    <mergeCell ref="A3264:G3264"/>
    <mergeCell ref="A1784:G1784"/>
    <mergeCell ref="A2082:G2082"/>
    <mergeCell ref="A2720:G2720"/>
    <mergeCell ref="A2380:G2380"/>
    <mergeCell ref="A1479:G1479"/>
    <mergeCell ref="A1777:G1777"/>
    <mergeCell ref="A2048:G2048"/>
    <mergeCell ref="A3020:G3020"/>
    <mergeCell ref="A2070:C2070"/>
    <mergeCell ref="A1466:G1466"/>
    <mergeCell ref="A1808:G1808"/>
    <mergeCell ref="A434:G434"/>
    <mergeCell ref="A1047:G1047"/>
    <mergeCell ref="D2689:G2689"/>
    <mergeCell ref="A2948:G2948"/>
    <mergeCell ref="A1161:G1161"/>
    <mergeCell ref="D317:G317"/>
    <mergeCell ref="A3165:G3165"/>
    <mergeCell ref="A2943:C2943"/>
    <mergeCell ref="D1501:G1501"/>
    <mergeCell ref="A1766:G1766"/>
    <mergeCell ref="A2108:G2108"/>
    <mergeCell ref="A734:G734"/>
    <mergeCell ref="A321:G321"/>
    <mergeCell ref="A1347:G1347"/>
    <mergeCell ref="A1032:G1032"/>
    <mergeCell ref="A2431:G2431"/>
    <mergeCell ref="A2222:G2222"/>
    <mergeCell ref="D2228:G2228"/>
    <mergeCell ref="A2860:G2860"/>
    <mergeCell ref="A3194:G3194"/>
    <mergeCell ref="A2433:G2433"/>
    <mergeCell ref="A323:G323"/>
    <mergeCell ref="A1034:G1034"/>
    <mergeCell ref="A621:G621"/>
    <mergeCell ref="D1204:G1204"/>
    <mergeCell ref="A3160:G3160"/>
    <mergeCell ref="A735:G735"/>
    <mergeCell ref="A3196:G3196"/>
    <mergeCell ref="A462:G462"/>
    <mergeCell ref="A1792:G1792"/>
    <mergeCell ref="A762:G762"/>
    <mergeCell ref="A7:G7"/>
    <mergeCell ref="A330:G330"/>
    <mergeCell ref="A305:G305"/>
    <mergeCell ref="A2275:G2275"/>
    <mergeCell ref="A2451:G2451"/>
    <mergeCell ref="A2573:G2573"/>
    <mergeCell ref="D154:G154"/>
    <mergeCell ref="A1177:C1177"/>
    <mergeCell ref="A1550:G1550"/>
    <mergeCell ref="A2609:G2609"/>
    <mergeCell ref="A2880:G2880"/>
    <mergeCell ref="A1848:G1848"/>
    <mergeCell ref="A1093:G1093"/>
    <mergeCell ref="A1213:C1213"/>
    <mergeCell ref="D1520:G1520"/>
    <mergeCell ref="A1087:G1087"/>
    <mergeCell ref="A1391:G1391"/>
    <mergeCell ref="A2146:G2146"/>
    <mergeCell ref="A2277:G2277"/>
    <mergeCell ref="A630:G630"/>
    <mergeCell ref="A3178:G3178"/>
    <mergeCell ref="A2575:G2575"/>
    <mergeCell ref="A2873:G2873"/>
    <mergeCell ref="A3180:G3180"/>
    <mergeCell ref="A1095:G1095"/>
    <mergeCell ref="A3325:C3325"/>
    <mergeCell ref="A2148:G2148"/>
    <mergeCell ref="A1393:G1393"/>
    <mergeCell ref="A2446:G2446"/>
    <mergeCell ref="A1691:G1691"/>
    <mergeCell ref="A3166:C3166"/>
    <mergeCell ref="A3338:G3338"/>
    <mergeCell ref="A2875:G2875"/>
    <mergeCell ref="A3209:G3209"/>
    <mergeCell ref="A3092:G3092"/>
    <mergeCell ref="A2477:G2477"/>
    <mergeCell ref="A392:G392"/>
    <mergeCell ref="A2906:G2906"/>
    <mergeCell ref="A2296:C2296"/>
    <mergeCell ref="A1119:G1119"/>
    <mergeCell ref="A475:G475"/>
    <mergeCell ref="A692:G692"/>
    <mergeCell ref="A2167:C2167"/>
    <mergeCell ref="A990:G990"/>
    <mergeCell ref="A2935:G2935"/>
    <mergeCell ref="A1876:G1876"/>
    <mergeCell ref="A2180:G2180"/>
    <mergeCell ref="A3206:G3206"/>
    <mergeCell ref="A2174:G2174"/>
    <mergeCell ref="A926:C926"/>
    <mergeCell ref="A1419:G1419"/>
    <mergeCell ref="A2472:G2472"/>
    <mergeCell ref="A45:G45"/>
    <mergeCell ref="A387:G387"/>
    <mergeCell ref="D1110:G1110"/>
    <mergeCell ref="A1413:G1413"/>
    <mergeCell ref="A694:G694"/>
    <mergeCell ref="A992:G992"/>
    <mergeCell ref="A3235:G3235"/>
    <mergeCell ref="A1150:G1150"/>
    <mergeCell ref="A1421:G1421"/>
    <mergeCell ref="A173:C173"/>
    <mergeCell ref="A1719:G1719"/>
    <mergeCell ref="A1864:C1864"/>
    <mergeCell ref="D2031:G2031"/>
    <mergeCell ref="A687:G687"/>
    <mergeCell ref="D3361:G3361"/>
    <mergeCell ref="A46:G46"/>
    <mergeCell ref="A2507:G2507"/>
    <mergeCell ref="D849:G849"/>
    <mergeCell ref="A980:C980"/>
    <mergeCell ref="A2805:G2805"/>
    <mergeCell ref="A2164:C2164"/>
    <mergeCell ref="A1409:C1409"/>
    <mergeCell ref="A376:G376"/>
    <mergeCell ref="A2619:G2619"/>
    <mergeCell ref="A71:G71"/>
    <mergeCell ref="A405:G405"/>
    <mergeCell ref="A1589:G1589"/>
    <mergeCell ref="A834:G834"/>
    <mergeCell ref="A1887:G1887"/>
    <mergeCell ref="A1132:G1132"/>
    <mergeCell ref="A100:G100"/>
    <mergeCell ref="A371:G371"/>
    <mergeCell ref="A1806:G1806"/>
    <mergeCell ref="A407:G407"/>
    <mergeCell ref="A705:G705"/>
    <mergeCell ref="A3288:G3288"/>
    <mergeCell ref="A2040:C2040"/>
    <mergeCell ref="A2218:G2218"/>
    <mergeCell ref="A1159:G1159"/>
    <mergeCell ref="A1134:G1134"/>
    <mergeCell ref="A2193:G2193"/>
    <mergeCell ref="A1457:G1457"/>
    <mergeCell ref="A102:G102"/>
    <mergeCell ref="D437:G437"/>
    <mergeCell ref="A1432:G1432"/>
    <mergeCell ref="A400:G400"/>
    <mergeCell ref="A2106:G2106"/>
    <mergeCell ref="A2220:G2220"/>
    <mergeCell ref="A2833:G2833"/>
    <mergeCell ref="A693:C693"/>
    <mergeCell ref="D2253:G2253"/>
    <mergeCell ref="A1459:G1459"/>
    <mergeCell ref="A1801:G1801"/>
    <mergeCell ref="A2518:G2518"/>
    <mergeCell ref="A402:G402"/>
    <mergeCell ref="A96:C96"/>
    <mergeCell ref="D826:G826"/>
    <mergeCell ref="A2862:G2862"/>
    <mergeCell ref="A2818:G2818"/>
    <mergeCell ref="A733:G733"/>
    <mergeCell ref="A547:G547"/>
    <mergeCell ref="A1519:G1519"/>
    <mergeCell ref="A120:G120"/>
    <mergeCell ref="A840:C840"/>
    <mergeCell ref="A123:C123"/>
    <mergeCell ref="A1056:G1056"/>
    <mergeCell ref="A301:G301"/>
    <mergeCell ref="A2088:G2088"/>
    <mergeCell ref="A2422:G2422"/>
    <mergeCell ref="A847:G847"/>
    <mergeCell ref="A1512:G1512"/>
    <mergeCell ref="A331:G331"/>
    <mergeCell ref="A113:G113"/>
    <mergeCell ref="A3171:G3171"/>
    <mergeCell ref="A3294:C3294"/>
    <mergeCell ref="A5:G5"/>
    <mergeCell ref="A2117:G2117"/>
    <mergeCell ref="A32:G32"/>
    <mergeCell ref="A303:G303"/>
    <mergeCell ref="A3452:C3452"/>
    <mergeCell ref="A2248:G2248"/>
    <mergeCell ref="A601:G601"/>
    <mergeCell ref="A3301:G3301"/>
    <mergeCell ref="A1216:G1216"/>
    <mergeCell ref="A2546:G2546"/>
    <mergeCell ref="A1514:G1514"/>
    <mergeCell ref="A759:G759"/>
    <mergeCell ref="A2844:G2844"/>
    <mergeCell ref="A2119:G2119"/>
    <mergeCell ref="D29:G29"/>
    <mergeCell ref="A2699:C2699"/>
    <mergeCell ref="D1213:G1213"/>
    <mergeCell ref="A761:G761"/>
    <mergeCell ref="A2846:G2846"/>
    <mergeCell ref="A1814:G1814"/>
    <mergeCell ref="A1232:G1232"/>
    <mergeCell ref="D1969:G1969"/>
    <mergeCell ref="A1959:G1959"/>
    <mergeCell ref="A900:G900"/>
    <mergeCell ref="A1198:G1198"/>
    <mergeCell ref="A2931:G2931"/>
    <mergeCell ref="A1872:G1872"/>
    <mergeCell ref="A2170:G2170"/>
    <mergeCell ref="A473:G473"/>
    <mergeCell ref="A2468:G2468"/>
    <mergeCell ref="A16:G16"/>
    <mergeCell ref="A1961:G1961"/>
    <mergeCell ref="A929:G929"/>
    <mergeCell ref="A174:G174"/>
    <mergeCell ref="A2259:G2259"/>
    <mergeCell ref="A1227:G1227"/>
    <mergeCell ref="A472:G472"/>
    <mergeCell ref="A2897:G2897"/>
    <mergeCell ref="A2933:G2933"/>
    <mergeCell ref="A1534:G1534"/>
    <mergeCell ref="A1417:G1417"/>
    <mergeCell ref="D1529:G1529"/>
    <mergeCell ref="A1199:G1199"/>
    <mergeCell ref="A18:G18"/>
    <mergeCell ref="A1222:C1222"/>
    <mergeCell ref="A683:G683"/>
    <mergeCell ref="A2470:G2470"/>
    <mergeCell ref="A2919:C2919"/>
    <mergeCell ref="A1235:G1235"/>
    <mergeCell ref="A1651:C1651"/>
    <mergeCell ref="A2261:G2261"/>
    <mergeCell ref="A2926:G2926"/>
    <mergeCell ref="A474:G474"/>
    <mergeCell ref="A1112:G1112"/>
    <mergeCell ref="A1527:G1527"/>
    <mergeCell ref="A772:G772"/>
    <mergeCell ref="A3197:G3197"/>
    <mergeCell ref="A3233:G3233"/>
    <mergeCell ref="A3355:G3355"/>
    <mergeCell ref="A1446:G1446"/>
    <mergeCell ref="A1744:G1744"/>
    <mergeCell ref="A2173:G2173"/>
    <mergeCell ref="A1951:C1951"/>
    <mergeCell ref="A164:C164"/>
    <mergeCell ref="A1558:G1558"/>
    <mergeCell ref="D3352:G3352"/>
    <mergeCell ref="A2644:G2644"/>
    <mergeCell ref="A2915:G2915"/>
    <mergeCell ref="A830:G830"/>
    <mergeCell ref="A1128:G1128"/>
    <mergeCell ref="A44:G44"/>
    <mergeCell ref="A3073:G3073"/>
    <mergeCell ref="A919:G919"/>
    <mergeCell ref="A2610:G2610"/>
    <mergeCell ref="A2646:G2646"/>
    <mergeCell ref="A1891:G1891"/>
    <mergeCell ref="A832:G832"/>
    <mergeCell ref="A2917:G2917"/>
    <mergeCell ref="A1885:G1885"/>
    <mergeCell ref="A1130:G1130"/>
    <mergeCell ref="A2944:G2944"/>
    <mergeCell ref="A2183:G2183"/>
    <mergeCell ref="A1428:G1428"/>
    <mergeCell ref="A73:G73"/>
    <mergeCell ref="A3366:C3366"/>
    <mergeCell ref="A396:G396"/>
    <mergeCell ref="A3373:G3373"/>
    <mergeCell ref="A2341:G2341"/>
    <mergeCell ref="A2612:G2612"/>
    <mergeCell ref="A2639:G2639"/>
    <mergeCell ref="A1884:G1884"/>
    <mergeCell ref="A825:G825"/>
    <mergeCell ref="D1252:G1252"/>
    <mergeCell ref="A2770:G2770"/>
    <mergeCell ref="A2910:G2910"/>
    <mergeCell ref="D2643:G2643"/>
    <mergeCell ref="A861:G861"/>
    <mergeCell ref="A1581:C1581"/>
    <mergeCell ref="A2946:G2946"/>
    <mergeCell ref="A2634:C2634"/>
    <mergeCell ref="A1430:G1430"/>
    <mergeCell ref="A1879:C1879"/>
    <mergeCell ref="A3068:G3068"/>
    <mergeCell ref="A398:G398"/>
    <mergeCell ref="A1728:G1728"/>
    <mergeCell ref="D2040:G2040"/>
    <mergeCell ref="A1588:G1588"/>
    <mergeCell ref="A3244:G3244"/>
    <mergeCell ref="A2641:G2641"/>
    <mergeCell ref="D1279:G1279"/>
    <mergeCell ref="A1886:G1886"/>
    <mergeCell ref="A3361:C3361"/>
    <mergeCell ref="D2943:G2943"/>
    <mergeCell ref="D858:G858"/>
    <mergeCell ref="A2941:G2941"/>
    <mergeCell ref="A2672:G2672"/>
    <mergeCell ref="D1166:G1166"/>
    <mergeCell ref="A543:G543"/>
    <mergeCell ref="A2786:G2786"/>
    <mergeCell ref="A3158:G3158"/>
    <mergeCell ref="A553:G553"/>
    <mergeCell ref="A1604:G1604"/>
    <mergeCell ref="A545:G545"/>
    <mergeCell ref="A2972:G2972"/>
    <mergeCell ref="A3270:G3270"/>
    <mergeCell ref="A843:G843"/>
    <mergeCell ref="A126:G126"/>
    <mergeCell ref="A1185:G1185"/>
    <mergeCell ref="D1908:G1908"/>
    <mergeCell ref="A424:G424"/>
    <mergeCell ref="A2791:C2791"/>
    <mergeCell ref="A109:G109"/>
    <mergeCell ref="A3086:G3086"/>
    <mergeCell ref="A1299:G1299"/>
    <mergeCell ref="A240:G240"/>
    <mergeCell ref="A853:G853"/>
    <mergeCell ref="A538:G538"/>
    <mergeCell ref="A3303:G3303"/>
    <mergeCell ref="A2974:G2974"/>
    <mergeCell ref="A2022:C2022"/>
    <mergeCell ref="A3297:G3297"/>
    <mergeCell ref="A1904:G1904"/>
    <mergeCell ref="A1187:G1187"/>
    <mergeCell ref="A845:G845"/>
    <mergeCell ref="A1510:G1510"/>
    <mergeCell ref="A117:G117"/>
    <mergeCell ref="D123:G123"/>
    <mergeCell ref="D878:G878"/>
    <mergeCell ref="A111:G111"/>
    <mergeCell ref="A724:G724"/>
    <mergeCell ref="A1143:G1143"/>
    <mergeCell ref="A1485:G1485"/>
    <mergeCell ref="A2333:G2333"/>
    <mergeCell ref="A2360:G2360"/>
    <mergeCell ref="A1599:G1599"/>
    <mergeCell ref="A3305:G3305"/>
    <mergeCell ref="A2544:G2544"/>
    <mergeCell ref="A2326:G2326"/>
    <mergeCell ref="A2842:G2842"/>
    <mergeCell ref="A1055:G1055"/>
    <mergeCell ref="A1785:G1785"/>
    <mergeCell ref="D3452:G3452"/>
    <mergeCell ref="A142:G142"/>
    <mergeCell ref="A3298:G3298"/>
    <mergeCell ref="A2777:C2777"/>
    <mergeCell ref="D2699:G2699"/>
    <mergeCell ref="A3300:G3300"/>
    <mergeCell ref="A442:G442"/>
    <mergeCell ref="A1955:G1955"/>
    <mergeCell ref="D297:G297"/>
    <mergeCell ref="A871:G871"/>
    <mergeCell ref="A2685:G2685"/>
    <mergeCell ref="A1169:G1169"/>
    <mergeCell ref="A137:G137"/>
    <mergeCell ref="D263:G263"/>
    <mergeCell ref="A132:C132"/>
    <mergeCell ref="A1957:G1957"/>
    <mergeCell ref="A2652:C2652"/>
    <mergeCell ref="A139:G139"/>
    <mergeCell ref="A443:G443"/>
    <mergeCell ref="D1781:G1781"/>
    <mergeCell ref="A1652:G1652"/>
    <mergeCell ref="D1020:G1020"/>
    <mergeCell ref="A3018:G3018"/>
    <mergeCell ref="A3434:C3434"/>
    <mergeCell ref="A3012:G3012"/>
    <mergeCell ref="A2257:G2257"/>
    <mergeCell ref="D2296:G2296"/>
    <mergeCell ref="A1225:G1225"/>
    <mergeCell ref="A470:G470"/>
    <mergeCell ref="A1200:G1200"/>
    <mergeCell ref="A2555:G2555"/>
    <mergeCell ref="A768:G768"/>
    <mergeCell ref="A3011:G3011"/>
    <mergeCell ref="A1952:G1952"/>
    <mergeCell ref="A3440:G3440"/>
    <mergeCell ref="A2924:G2924"/>
    <mergeCell ref="A2557:G2557"/>
    <mergeCell ref="A1525:G1525"/>
    <mergeCell ref="A770:G770"/>
    <mergeCell ref="D3025:G3025"/>
    <mergeCell ref="A3013:G3013"/>
    <mergeCell ref="D1651:G1651"/>
    <mergeCell ref="A584:G584"/>
    <mergeCell ref="A1556:G1556"/>
    <mergeCell ref="A1854:G1854"/>
    <mergeCell ref="A795:G795"/>
    <mergeCell ref="A3313:G3313"/>
    <mergeCell ref="A915:G915"/>
    <mergeCell ref="A2283:G2283"/>
    <mergeCell ref="A909:G909"/>
    <mergeCell ref="A1207:G1207"/>
    <mergeCell ref="A1978:G1978"/>
    <mergeCell ref="A69:G69"/>
    <mergeCell ref="A3369:G3369"/>
    <mergeCell ref="A2014:G2014"/>
    <mergeCell ref="A367:G367"/>
    <mergeCell ref="A2285:G2285"/>
    <mergeCell ref="D2009:G2009"/>
    <mergeCell ref="A1557:G1557"/>
    <mergeCell ref="A498:G498"/>
    <mergeCell ref="A2268:G2268"/>
    <mergeCell ref="A183:G183"/>
    <mergeCell ref="A796:G796"/>
    <mergeCell ref="A1551:G1551"/>
    <mergeCell ref="A3461:C3461"/>
    <mergeCell ref="A2284:G2284"/>
    <mergeCell ref="A910:G910"/>
    <mergeCell ref="A193:G193"/>
    <mergeCell ref="A1546:C1546"/>
    <mergeCell ref="A3371:G3371"/>
    <mergeCell ref="A369:G369"/>
    <mergeCell ref="D197:G197"/>
    <mergeCell ref="A2637:G2637"/>
    <mergeCell ref="A1096:G1096"/>
    <mergeCell ref="A3066:G3066"/>
    <mergeCell ref="A3334:C3334"/>
    <mergeCell ref="A2182:G2182"/>
    <mergeCell ref="A1269:G1269"/>
    <mergeCell ref="A514:G514"/>
    <mergeCell ref="A1996:G1996"/>
    <mergeCell ref="A209:G209"/>
    <mergeCell ref="A1991:C1991"/>
    <mergeCell ref="A814:G814"/>
    <mergeCell ref="A959:C959"/>
    <mergeCell ref="A2784:G2784"/>
    <mergeCell ref="A3397:G3397"/>
    <mergeCell ref="A3082:G3082"/>
    <mergeCell ref="A3057:G3057"/>
    <mergeCell ref="A972:G972"/>
    <mergeCell ref="A1998:G1998"/>
    <mergeCell ref="A966:G966"/>
    <mergeCell ref="A211:G211"/>
    <mergeCell ref="A1264:G1264"/>
    <mergeCell ref="A509:G509"/>
    <mergeCell ref="A2970:G2970"/>
    <mergeCell ref="A1183:G1183"/>
    <mergeCell ref="A3084:G3084"/>
    <mergeCell ref="A82:G82"/>
    <mergeCell ref="A3382:G3382"/>
    <mergeCell ref="A2665:G2665"/>
    <mergeCell ref="A1595:G1595"/>
    <mergeCell ref="A1570:G1570"/>
    <mergeCell ref="A511:G511"/>
    <mergeCell ref="A3421:C3421"/>
    <mergeCell ref="A809:G809"/>
    <mergeCell ref="A3392:G3392"/>
    <mergeCell ref="D366:G366"/>
    <mergeCell ref="D1392:G1392"/>
    <mergeCell ref="A1687:C1687"/>
    <mergeCell ref="D1609:G1609"/>
    <mergeCell ref="A2656:G2656"/>
    <mergeCell ref="A1597:G1597"/>
    <mergeCell ref="D2662:G2662"/>
    <mergeCell ref="A1895:G1895"/>
    <mergeCell ref="A567:G567"/>
    <mergeCell ref="A3085:G3085"/>
    <mergeCell ref="D2453:G2453"/>
    <mergeCell ref="A865:G865"/>
    <mergeCell ref="A3383:G3383"/>
    <mergeCell ref="A2346:C2346"/>
    <mergeCell ref="A351:G351"/>
    <mergeCell ref="A1165:G1165"/>
    <mergeCell ref="A3110:G3110"/>
    <mergeCell ref="A3408:G3408"/>
    <mergeCell ref="A562:G562"/>
    <mergeCell ref="A2683:G2683"/>
    <mergeCell ref="A598:G598"/>
    <mergeCell ref="A1928:G1928"/>
    <mergeCell ref="A2981:G2981"/>
    <mergeCell ref="A2226:G2226"/>
    <mergeCell ref="A141:G141"/>
    <mergeCell ref="A651:G651"/>
    <mergeCell ref="A1167:G1167"/>
    <mergeCell ref="A135:G135"/>
    <mergeCell ref="A3112:G3112"/>
    <mergeCell ref="A2384:G2384"/>
    <mergeCell ref="A433:G433"/>
    <mergeCell ref="A1325:G1325"/>
    <mergeCell ref="A2800:C2800"/>
    <mergeCell ref="A985:G985"/>
    <mergeCell ref="A868:G868"/>
    <mergeCell ref="D236:G236"/>
    <mergeCell ref="A591:G591"/>
    <mergeCell ref="A224:G224"/>
    <mergeCell ref="A862:G862"/>
    <mergeCell ref="A944:C944"/>
    <mergeCell ref="A1623:G1623"/>
    <mergeCell ref="A2807:G2807"/>
    <mergeCell ref="A2953:G2953"/>
    <mergeCell ref="A3105:G3105"/>
    <mergeCell ref="A1196:G1196"/>
    <mergeCell ref="A2671:C2671"/>
    <mergeCell ref="D2083:G2083"/>
    <mergeCell ref="A435:G435"/>
    <mergeCell ref="A2386:G2386"/>
    <mergeCell ref="A2684:G2684"/>
    <mergeCell ref="A2678:G2678"/>
    <mergeCell ref="A2982:G2982"/>
    <mergeCell ref="A2643:C2643"/>
    <mergeCell ref="A3411:G3411"/>
    <mergeCell ref="A1496:G1496"/>
    <mergeCell ref="A2223:G2223"/>
    <mergeCell ref="A580:G580"/>
    <mergeCell ref="A1036:G1036"/>
    <mergeCell ref="A2396:G2396"/>
    <mergeCell ref="A1641:G1641"/>
    <mergeCell ref="A582:G582"/>
    <mergeCell ref="A2097:G2097"/>
    <mergeCell ref="D2103:G2103"/>
    <mergeCell ref="A283:G283"/>
    <mergeCell ref="A1336:G1336"/>
    <mergeCell ref="A277:G277"/>
    <mergeCell ref="A581:G581"/>
    <mergeCell ref="D272:G272"/>
    <mergeCell ref="A575:G575"/>
    <mergeCell ref="A3340:G3340"/>
    <mergeCell ref="A2281:G2281"/>
    <mergeCell ref="A2308:G2308"/>
    <mergeCell ref="A611:G611"/>
    <mergeCell ref="A1547:G1547"/>
    <mergeCell ref="D1796:G1796"/>
    <mergeCell ref="A2099:G2099"/>
    <mergeCell ref="A285:G285"/>
    <mergeCell ref="A2397:G2397"/>
    <mergeCell ref="A1338:G1338"/>
    <mergeCell ref="A583:G583"/>
    <mergeCell ref="A1976:G1976"/>
    <mergeCell ref="A3035:G3035"/>
    <mergeCell ref="A577:G577"/>
    <mergeCell ref="A3342:G3342"/>
    <mergeCell ref="A2820:G2820"/>
    <mergeCell ref="A1555:G1555"/>
    <mergeCell ref="A2608:G2608"/>
    <mergeCell ref="A1033:G1033"/>
    <mergeCell ref="A278:G278"/>
    <mergeCell ref="A2363:G2363"/>
    <mergeCell ref="A2399:G2399"/>
    <mergeCell ref="A3037:G3037"/>
    <mergeCell ref="A2697:G2697"/>
    <mergeCell ref="A3335:G3335"/>
    <mergeCell ref="A571:C571"/>
    <mergeCell ref="A2908:G2908"/>
    <mergeCell ref="A1694:G1694"/>
    <mergeCell ref="A1992:G1992"/>
    <mergeCell ref="A295:G295"/>
    <mergeCell ref="A637:G637"/>
    <mergeCell ref="A603:G603"/>
    <mergeCell ref="A1994:G1994"/>
    <mergeCell ref="A2292:G2292"/>
    <mergeCell ref="A207:G207"/>
    <mergeCell ref="A182:G182"/>
    <mergeCell ref="A2450:G2450"/>
    <mergeCell ref="A2748:G2748"/>
    <mergeCell ref="A296:G296"/>
    <mergeCell ref="A3055:G3055"/>
    <mergeCell ref="A3177:G3177"/>
    <mergeCell ref="A3353:G3353"/>
    <mergeCell ref="A1268:G1268"/>
    <mergeCell ref="A1262:G1262"/>
    <mergeCell ref="A507:G507"/>
    <mergeCell ref="A1566:G1566"/>
    <mergeCell ref="A2452:G2452"/>
    <mergeCell ref="A1697:G1697"/>
    <mergeCell ref="A2628:G2628"/>
    <mergeCell ref="A1995:G1995"/>
    <mergeCell ref="A3388:G3388"/>
    <mergeCell ref="A3048:G3048"/>
    <mergeCell ref="A1989:G1989"/>
    <mergeCell ref="A2293:G2293"/>
    <mergeCell ref="D2791:G2791"/>
    <mergeCell ref="A3050:G3050"/>
    <mergeCell ref="A1692:G1692"/>
    <mergeCell ref="A681:G681"/>
    <mergeCell ref="A1707:G1707"/>
    <mergeCell ref="A317:C317"/>
    <mergeCell ref="A2163:G2163"/>
    <mergeCell ref="A2768:G2768"/>
    <mergeCell ref="A981:G981"/>
    <mergeCell ref="A2349:G2349"/>
    <mergeCell ref="A220:G220"/>
    <mergeCell ref="A1410:G1410"/>
    <mergeCell ref="A2463:G2463"/>
    <mergeCell ref="A1708:G1708"/>
    <mergeCell ref="A2761:G2761"/>
    <mergeCell ref="A676:G676"/>
    <mergeCell ref="A1702:G1702"/>
    <mergeCell ref="D1741:G1741"/>
    <mergeCell ref="A3137:G3137"/>
    <mergeCell ref="A3190:G3190"/>
    <mergeCell ref="A1105:G1105"/>
    <mergeCell ref="A983:G983"/>
    <mergeCell ref="A2674:G2674"/>
    <mergeCell ref="A2978:G2978"/>
    <mergeCell ref="A222:G222"/>
    <mergeCell ref="A1579:G1579"/>
    <mergeCell ref="A3407:G3407"/>
    <mergeCell ref="A1710:G1710"/>
    <mergeCell ref="A2763:G2763"/>
    <mergeCell ref="A2464:G2464"/>
    <mergeCell ref="A1405:G1405"/>
    <mergeCell ref="A2980:G2980"/>
    <mergeCell ref="A971:C971"/>
    <mergeCell ref="A551:G551"/>
    <mergeCell ref="A2794:G2794"/>
    <mergeCell ref="A1007:G1007"/>
    <mergeCell ref="A246:G246"/>
    <mergeCell ref="D1888:G1888"/>
    <mergeCell ref="A1436:G1436"/>
    <mergeCell ref="A2821:G2821"/>
    <mergeCell ref="A3119:G3119"/>
    <mergeCell ref="D1461:G1461"/>
    <mergeCell ref="A1009:G1009"/>
    <mergeCell ref="A1307:G1307"/>
    <mergeCell ref="A248:G248"/>
    <mergeCell ref="D401:G401"/>
    <mergeCell ref="A2034:G2034"/>
    <mergeCell ref="A247:G247"/>
    <mergeCell ref="A3121:G3121"/>
    <mergeCell ref="A3425:G3425"/>
    <mergeCell ref="A1334:G1334"/>
    <mergeCell ref="A1309:G1309"/>
    <mergeCell ref="A3279:G3279"/>
    <mergeCell ref="D3249:G3249"/>
    <mergeCell ref="A236:C236"/>
    <mergeCell ref="A2816:G2816"/>
    <mergeCell ref="A3120:G3120"/>
    <mergeCell ref="A2395:G2395"/>
    <mergeCell ref="A2693:G2693"/>
    <mergeCell ref="A1634:G1634"/>
    <mergeCell ref="A906:G906"/>
    <mergeCell ref="A3122:G3122"/>
    <mergeCell ref="A2090:G2090"/>
    <mergeCell ref="A3116:G3116"/>
    <mergeCell ref="A3420:G3420"/>
    <mergeCell ref="A2519:G2519"/>
    <mergeCell ref="A2840:G2840"/>
    <mergeCell ref="A931:G931"/>
    <mergeCell ref="A2121:G2121"/>
    <mergeCell ref="A1062:G1062"/>
    <mergeCell ref="A3147:G3147"/>
    <mergeCell ref="A722:G722"/>
    <mergeCell ref="A2848:G2848"/>
    <mergeCell ref="A1474:G1474"/>
    <mergeCell ref="A933:G933"/>
    <mergeCell ref="A172:G172"/>
    <mergeCell ref="A2079:G2079"/>
    <mergeCell ref="A2421:G2421"/>
    <mergeCell ref="A114:C114"/>
    <mergeCell ref="A2719:G2719"/>
    <mergeCell ref="A1660:G1660"/>
    <mergeCell ref="A1345:G1345"/>
    <mergeCell ref="A2850:G2850"/>
    <mergeCell ref="A899:G899"/>
    <mergeCell ref="A1774:G1774"/>
    <mergeCell ref="A2116:G2116"/>
    <mergeCell ref="A3142:G3142"/>
    <mergeCell ref="D790:G790"/>
    <mergeCell ref="A2423:G2423"/>
    <mergeCell ref="A2721:G2721"/>
    <mergeCell ref="A294:G294"/>
    <mergeCell ref="A1796:C1796"/>
    <mergeCell ref="A934:G934"/>
    <mergeCell ref="A3019:G3019"/>
    <mergeCell ref="D1517:G1517"/>
    <mergeCell ref="A2118:G2118"/>
    <mergeCell ref="A1363:G1363"/>
    <mergeCell ref="A3448:G3448"/>
    <mergeCell ref="A1048:G1048"/>
    <mergeCell ref="A2074:G2074"/>
    <mergeCell ref="A1439:C1439"/>
    <mergeCell ref="A318:G318"/>
    <mergeCell ref="A2263:G2263"/>
    <mergeCell ref="A348:G348"/>
    <mergeCell ref="A923:G923"/>
    <mergeCell ref="A646:G646"/>
    <mergeCell ref="A1366:C1366"/>
    <mergeCell ref="A2556:C2556"/>
    <mergeCell ref="A2134:G2134"/>
    <mergeCell ref="A1075:G1075"/>
    <mergeCell ref="A320:G320"/>
    <mergeCell ref="A347:G347"/>
    <mergeCell ref="A314:G314"/>
    <mergeCell ref="A618:G618"/>
    <mergeCell ref="A2563:G2563"/>
    <mergeCell ref="A2047:G2047"/>
    <mergeCell ref="A2861:G2861"/>
    <mergeCell ref="A952:G952"/>
    <mergeCell ref="A648:G648"/>
    <mergeCell ref="A15:G15"/>
    <mergeCell ref="A191:G191"/>
    <mergeCell ref="A3220:G3220"/>
    <mergeCell ref="A2136:G2136"/>
    <mergeCell ref="A51:G51"/>
    <mergeCell ref="A1526:C1526"/>
    <mergeCell ref="A2434:G2434"/>
    <mergeCell ref="A349:G349"/>
    <mergeCell ref="A620:G620"/>
    <mergeCell ref="A918:G918"/>
    <mergeCell ref="A778:G778"/>
    <mergeCell ref="A2253:C2253"/>
    <mergeCell ref="A3161:G3161"/>
    <mergeCell ref="A1076:G1076"/>
    <mergeCell ref="A3186:G3186"/>
    <mergeCell ref="D767:G767"/>
    <mergeCell ref="A315:G315"/>
    <mergeCell ref="A1070:G1070"/>
    <mergeCell ref="A1374:G1374"/>
    <mergeCell ref="D2133:G2133"/>
    <mergeCell ref="A1826:C1826"/>
    <mergeCell ref="D2771:G2771"/>
    <mergeCell ref="A649:G649"/>
    <mergeCell ref="A2124:C2124"/>
    <mergeCell ref="A947:G947"/>
    <mergeCell ref="A1735:G1735"/>
    <mergeCell ref="A2790:G2790"/>
    <mergeCell ref="A2462:G2462"/>
    <mergeCell ref="A788:G788"/>
    <mergeCell ref="A33:G33"/>
    <mergeCell ref="A3090:G3090"/>
    <mergeCell ref="A489:G489"/>
    <mergeCell ref="A1005:G1005"/>
    <mergeCell ref="A3212:G3212"/>
    <mergeCell ref="A3248:G3248"/>
    <mergeCell ref="A2189:G2189"/>
    <mergeCell ref="A1849:G1849"/>
    <mergeCell ref="A1094:G1094"/>
    <mergeCell ref="A35:G35"/>
    <mergeCell ref="D74:G74"/>
    <mergeCell ref="A62:G62"/>
    <mergeCell ref="A333:G333"/>
    <mergeCell ref="A700:G700"/>
    <mergeCell ref="A1732:G1732"/>
    <mergeCell ref="A2030:G2030"/>
    <mergeCell ref="A2785:G2785"/>
    <mergeCell ref="A2066:G2066"/>
    <mergeCell ref="A3241:G3241"/>
    <mergeCell ref="A2060:G2060"/>
    <mergeCell ref="A1427:G1427"/>
    <mergeCell ref="A2264:C2264"/>
    <mergeCell ref="A2364:G2364"/>
    <mergeCell ref="A1603:G1603"/>
    <mergeCell ref="A28:G28"/>
    <mergeCell ref="D1154:G1154"/>
    <mergeCell ref="A1761:G1761"/>
    <mergeCell ref="A2032:G2032"/>
    <mergeCell ref="A2059:G2059"/>
    <mergeCell ref="A362:G362"/>
    <mergeCell ref="A245:G245"/>
    <mergeCell ref="A1000:G1000"/>
    <mergeCell ref="A1082:C1082"/>
    <mergeCell ref="A2330:G2330"/>
    <mergeCell ref="A2787:G2787"/>
    <mergeCell ref="A2488:G2488"/>
    <mergeCell ref="A2945:G2945"/>
    <mergeCell ref="A3243:G3243"/>
    <mergeCell ref="A1605:G1605"/>
    <mergeCell ref="A30:G30"/>
    <mergeCell ref="A3117:C3117"/>
    <mergeCell ref="A2185:C2185"/>
    <mergeCell ref="A59:G59"/>
    <mergeCell ref="A1763:G1763"/>
    <mergeCell ref="A2490:G2490"/>
    <mergeCell ref="D3240:G3240"/>
    <mergeCell ref="A352:C352"/>
    <mergeCell ref="A83:C83"/>
    <mergeCell ref="A3232:G3232"/>
    <mergeCell ref="A1147:G1147"/>
    <mergeCell ref="A1445:G1445"/>
    <mergeCell ref="A3390:G3390"/>
    <mergeCell ref="A413:G413"/>
    <mergeCell ref="A1475:G1475"/>
    <mergeCell ref="A720:G720"/>
    <mergeCell ref="A2927:G2927"/>
    <mergeCell ref="A1018:G1018"/>
    <mergeCell ref="A1140:G1140"/>
    <mergeCell ref="A1316:G1316"/>
    <mergeCell ref="A3261:G3261"/>
    <mergeCell ref="A1176:G1176"/>
    <mergeCell ref="A1447:G1447"/>
    <mergeCell ref="A2202:G2202"/>
    <mergeCell ref="A2506:G2506"/>
    <mergeCell ref="A415:G415"/>
    <mergeCell ref="A1745:G1745"/>
    <mergeCell ref="A713:G713"/>
    <mergeCell ref="A3080:C3080"/>
    <mergeCell ref="D1600:G1600"/>
    <mergeCell ref="A1903:G1903"/>
    <mergeCell ref="A2419:G2419"/>
    <mergeCell ref="A2201:G2201"/>
    <mergeCell ref="A1142:G1142"/>
    <mergeCell ref="A410:C410"/>
    <mergeCell ref="A2717:G2717"/>
    <mergeCell ref="A2956:G2956"/>
    <mergeCell ref="A3146:G3146"/>
    <mergeCell ref="A1476:G1476"/>
    <mergeCell ref="D114:G114"/>
    <mergeCell ref="A1747:G1747"/>
    <mergeCell ref="A3249:C3249"/>
    <mergeCell ref="A715:G715"/>
    <mergeCell ref="A1905:G1905"/>
    <mergeCell ref="A2203:G2203"/>
    <mergeCell ref="A2841:G2841"/>
    <mergeCell ref="A1171:G1171"/>
    <mergeCell ref="A932:G932"/>
    <mergeCell ref="A1442:G1442"/>
    <mergeCell ref="A2501:G2501"/>
    <mergeCell ref="A3017:G3017"/>
    <mergeCell ref="A3175:G3175"/>
    <mergeCell ref="A1776:G1776"/>
    <mergeCell ref="A1166:C1166"/>
    <mergeCell ref="A441:G441"/>
    <mergeCell ref="A739:G739"/>
    <mergeCell ref="A1832:G1832"/>
    <mergeCell ref="A2130:G2130"/>
    <mergeCell ref="A1908:C1908"/>
    <mergeCell ref="A1046:G1046"/>
    <mergeCell ref="A731:G731"/>
    <mergeCell ref="A2559:G2559"/>
    <mergeCell ref="A2857:G2857"/>
    <mergeCell ref="A1160:G1160"/>
    <mergeCell ref="A1773:G1773"/>
    <mergeCell ref="A1458:G1458"/>
    <mergeCell ref="A741:G741"/>
    <mergeCell ref="A2648:G2648"/>
    <mergeCell ref="A1039:G1039"/>
    <mergeCell ref="A2132:G2132"/>
    <mergeCell ref="A1377:G1377"/>
    <mergeCell ref="A3462:G3462"/>
    <mergeCell ref="A2430:G2430"/>
    <mergeCell ref="A643:G643"/>
    <mergeCell ref="D11:G11"/>
    <mergeCell ref="A2561:G2561"/>
    <mergeCell ref="A2859:G2859"/>
    <mergeCell ref="A1827:G1827"/>
    <mergeCell ref="A2547:C2547"/>
    <mergeCell ref="A437:C437"/>
    <mergeCell ref="A3193:G3193"/>
    <mergeCell ref="A2256:G2256"/>
    <mergeCell ref="A2432:G2432"/>
    <mergeCell ref="A2554:G2554"/>
    <mergeCell ref="A2730:G2730"/>
    <mergeCell ref="A645:G645"/>
    <mergeCell ref="A2590:G2590"/>
    <mergeCell ref="A943:G943"/>
    <mergeCell ref="A2888:G2888"/>
    <mergeCell ref="D1526:G1526"/>
    <mergeCell ref="A1074:G1074"/>
    <mergeCell ref="A2127:G2127"/>
    <mergeCell ref="A1372:G1372"/>
    <mergeCell ref="A1517:C1517"/>
    <mergeCell ref="A3317:G3317"/>
    <mergeCell ref="A3457:G3457"/>
    <mergeCell ref="A3188:G3188"/>
    <mergeCell ref="D1826:G1826"/>
    <mergeCell ref="D2124:G2124"/>
    <mergeCell ref="A2272:G2272"/>
    <mergeCell ref="A786:G786"/>
    <mergeCell ref="A1090:G1090"/>
    <mergeCell ref="A3333:G3333"/>
    <mergeCell ref="A2274:G2274"/>
    <mergeCell ref="A2572:G2572"/>
    <mergeCell ref="D914:G914"/>
    <mergeCell ref="A1855:G1855"/>
    <mergeCell ref="A878:C878"/>
    <mergeCell ref="A785:G785"/>
    <mergeCell ref="A2153:G2153"/>
    <mergeCell ref="A3246:G3246"/>
    <mergeCell ref="A24:G24"/>
    <mergeCell ref="A3028:G3028"/>
    <mergeCell ref="A2267:G2267"/>
    <mergeCell ref="A60:G60"/>
    <mergeCell ref="A358:G358"/>
    <mergeCell ref="A3239:G3239"/>
    <mergeCell ref="A1846:G1846"/>
    <mergeCell ref="A787:G787"/>
    <mergeCell ref="A1840:G1840"/>
    <mergeCell ref="A1085:G1085"/>
    <mergeCell ref="D65:G65"/>
    <mergeCell ref="A3328:G3328"/>
    <mergeCell ref="D3334:G3334"/>
    <mergeCell ref="A360:G360"/>
    <mergeCell ref="A658:G658"/>
    <mergeCell ref="A3025:C3025"/>
    <mergeCell ref="A1871:G1871"/>
    <mergeCell ref="A84:G84"/>
    <mergeCell ref="A2300:G2300"/>
    <mergeCell ref="A2598:G2598"/>
    <mergeCell ref="A385:G385"/>
    <mergeCell ref="A689:G689"/>
    <mergeCell ref="A50:G50"/>
    <mergeCell ref="A2171:G2171"/>
    <mergeCell ref="A86:G86"/>
    <mergeCell ref="A1561:C1561"/>
    <mergeCell ref="A384:G384"/>
    <mergeCell ref="A2600:G2600"/>
    <mergeCell ref="D212:G212"/>
    <mergeCell ref="A515:G515"/>
    <mergeCell ref="A1568:G1568"/>
    <mergeCell ref="A813:G813"/>
    <mergeCell ref="A2898:G2898"/>
    <mergeCell ref="A989:G989"/>
    <mergeCell ref="A1111:G1111"/>
    <mergeCell ref="A2959:G2959"/>
    <mergeCell ref="A3257:G3257"/>
    <mergeCell ref="A1103:G1103"/>
    <mergeCell ref="D83:G83"/>
    <mergeCell ref="A386:G386"/>
    <mergeCell ref="A684:G684"/>
    <mergeCell ref="A74:C74"/>
    <mergeCell ref="A815:G815"/>
    <mergeCell ref="A1138:G1138"/>
    <mergeCell ref="A1113:G1113"/>
    <mergeCell ref="A503:C503"/>
    <mergeCell ref="A1868:G1868"/>
    <mergeCell ref="A81:G81"/>
    <mergeCell ref="A3259:G3259"/>
    <mergeCell ref="A3381:G3381"/>
    <mergeCell ref="A686:G686"/>
    <mergeCell ref="A2954:G2954"/>
    <mergeCell ref="A2199:G2199"/>
    <mergeCell ref="A1520:C1520"/>
    <mergeCell ref="D3080:G3080"/>
    <mergeCell ref="A3344:G3344"/>
    <mergeCell ref="A1772:G1772"/>
    <mergeCell ref="A2013:G2013"/>
    <mergeCell ref="A226:G226"/>
    <mergeCell ref="A3254:G3254"/>
    <mergeCell ref="A2499:G2499"/>
    <mergeCell ref="A3283:G3283"/>
    <mergeCell ref="A70:G70"/>
    <mergeCell ref="A2313:G2313"/>
    <mergeCell ref="A228:G228"/>
    <mergeCell ref="A526:G526"/>
    <mergeCell ref="A3285:G3285"/>
    <mergeCell ref="A1498:G1498"/>
    <mergeCell ref="A2524:G2524"/>
    <mergeCell ref="A99:G99"/>
    <mergeCell ref="A737:G737"/>
    <mergeCell ref="D2379:G2379"/>
    <mergeCell ref="A397:G397"/>
    <mergeCell ref="A2009:C2009"/>
    <mergeCell ref="A2638:G2638"/>
    <mergeCell ref="D980:G980"/>
    <mergeCell ref="A528:G528"/>
    <mergeCell ref="A2225:G2225"/>
    <mergeCell ref="A2936:G2936"/>
    <mergeCell ref="A1464:G1464"/>
    <mergeCell ref="A3402:C3402"/>
    <mergeCell ref="A1124:G1124"/>
    <mergeCell ref="A2217:G2217"/>
    <mergeCell ref="A1500:G1500"/>
    <mergeCell ref="A101:G101"/>
    <mergeCell ref="A2096:G2096"/>
    <mergeCell ref="A1037:G1037"/>
    <mergeCell ref="A3286:G3286"/>
    <mergeCell ref="A2227:G2227"/>
    <mergeCell ref="D227:G227"/>
    <mergeCell ref="A1912:G1912"/>
    <mergeCell ref="A1157:G1157"/>
    <mergeCell ref="A2525:G2525"/>
    <mergeCell ref="A3280:G3280"/>
    <mergeCell ref="A3275:C3275"/>
    <mergeCell ref="A2098:G2098"/>
    <mergeCell ref="A311:G311"/>
    <mergeCell ref="A1279:C1279"/>
    <mergeCell ref="A2825:G2825"/>
    <mergeCell ref="A1182:G1182"/>
    <mergeCell ref="D2680:G2680"/>
    <mergeCell ref="A755:G755"/>
    <mergeCell ref="A1053:G1053"/>
    <mergeCell ref="A2998:G2998"/>
    <mergeCell ref="A913:G913"/>
    <mergeCell ref="A1184:G1184"/>
    <mergeCell ref="A2243:G2243"/>
    <mergeCell ref="A1211:G1211"/>
    <mergeCell ref="A1482:G1482"/>
    <mergeCell ref="A3427:G3427"/>
    <mergeCell ref="A1640:G1640"/>
    <mergeCell ref="A1816:G1816"/>
    <mergeCell ref="A757:G757"/>
    <mergeCell ref="A451:C451"/>
    <mergeCell ref="A879:G879"/>
    <mergeCell ref="A1938:G1938"/>
    <mergeCell ref="A300:G300"/>
    <mergeCell ref="A2543:G2543"/>
    <mergeCell ref="A458:G458"/>
    <mergeCell ref="A1484:G1484"/>
    <mergeCell ref="A1511:G1511"/>
    <mergeCell ref="A452:G452"/>
    <mergeCell ref="A756:G756"/>
    <mergeCell ref="A750:G750"/>
    <mergeCell ref="D1339:G1339"/>
    <mergeCell ref="A1470:C1470"/>
    <mergeCell ref="A1642:G1642"/>
    <mergeCell ref="A1330:C1330"/>
    <mergeCell ref="A1940:G1940"/>
    <mergeCell ref="D605:G605"/>
    <mergeCell ref="A908:G908"/>
    <mergeCell ref="A2238:G2238"/>
    <mergeCell ref="A2695:G2695"/>
    <mergeCell ref="A2993:G2993"/>
    <mergeCell ref="A2999:G2999"/>
    <mergeCell ref="A2912:G2912"/>
    <mergeCell ref="A1513:G1513"/>
    <mergeCell ref="A1811:G1811"/>
    <mergeCell ref="A2391:C2391"/>
    <mergeCell ref="A3324:G3324"/>
    <mergeCell ref="A2265:G2265"/>
    <mergeCell ref="A2240:G2240"/>
    <mergeCell ref="A2689:C2689"/>
    <mergeCell ref="D905:G905"/>
    <mergeCell ref="A1208:G1208"/>
    <mergeCell ref="A2538:G2538"/>
    <mergeCell ref="A2599:G2599"/>
    <mergeCell ref="D2909:G2909"/>
    <mergeCell ref="A26:G26"/>
    <mergeCell ref="A1501:C1501"/>
    <mergeCell ref="A3326:G3326"/>
    <mergeCell ref="A468:G468"/>
    <mergeCell ref="A897:G897"/>
    <mergeCell ref="A2899:G2899"/>
    <mergeCell ref="A3140:G3140"/>
    <mergeCell ref="A2928:G2928"/>
    <mergeCell ref="A1353:G1353"/>
    <mergeCell ref="A1869:G1869"/>
    <mergeCell ref="A2596:G2596"/>
    <mergeCell ref="A1348:C1348"/>
    <mergeCell ref="A2894:G2894"/>
    <mergeCell ref="A171:G171"/>
    <mergeCell ref="A165:G165"/>
    <mergeCell ref="A1355:G1355"/>
    <mergeCell ref="A600:G600"/>
    <mergeCell ref="A3228:G3228"/>
    <mergeCell ref="A1653:G1653"/>
    <mergeCell ref="A594:G594"/>
    <mergeCell ref="A2291:G2291"/>
    <mergeCell ref="A2467:G2467"/>
    <mergeCell ref="A892:G892"/>
    <mergeCell ref="A2327:G2327"/>
    <mergeCell ref="A2625:G2625"/>
    <mergeCell ref="A1870:G1870"/>
    <mergeCell ref="A811:G811"/>
    <mergeCell ref="A2896:G2896"/>
    <mergeCell ref="A1226:G1226"/>
    <mergeCell ref="A471:G471"/>
    <mergeCell ref="A1109:G1109"/>
    <mergeCell ref="A2168:G2168"/>
    <mergeCell ref="A77:G77"/>
    <mergeCell ref="A2923:G2923"/>
    <mergeCell ref="A3054:G3054"/>
    <mergeCell ref="A1655:G1655"/>
    <mergeCell ref="A2597:G2597"/>
    <mergeCell ref="A2320:G2320"/>
    <mergeCell ref="A2591:G2591"/>
    <mergeCell ref="A2620:C2620"/>
    <mergeCell ref="A3230:G3230"/>
    <mergeCell ref="A682:G682"/>
    <mergeCell ref="A2925:G2925"/>
    <mergeCell ref="A3223:G3223"/>
    <mergeCell ref="A2404:C2404"/>
    <mergeCell ref="A168:G168"/>
    <mergeCell ref="D503:G503"/>
    <mergeCell ref="A3225:G3225"/>
    <mergeCell ref="A1582:G1582"/>
    <mergeCell ref="A2704:C2704"/>
    <mergeCell ref="A2309:G2309"/>
    <mergeCell ref="A522:G522"/>
    <mergeCell ref="A2765:G2765"/>
    <mergeCell ref="A1882:G1882"/>
    <mergeCell ref="A95:G95"/>
    <mergeCell ref="A3370:G3370"/>
    <mergeCell ref="A393:G393"/>
    <mergeCell ref="A1285:G1285"/>
    <mergeCell ref="A2311:G2311"/>
    <mergeCell ref="A2760:C2760"/>
    <mergeCell ref="A524:G524"/>
    <mergeCell ref="A822:G822"/>
    <mergeCell ref="A212:C212"/>
    <mergeCell ref="A2767:G2767"/>
    <mergeCell ref="A2012:G2012"/>
    <mergeCell ref="A3065:G3065"/>
    <mergeCell ref="A2006:G2006"/>
    <mergeCell ref="A1129:G1129"/>
    <mergeCell ref="A2310:G2310"/>
    <mergeCell ref="A2304:G2304"/>
    <mergeCell ref="A97:G97"/>
    <mergeCell ref="A219:G219"/>
    <mergeCell ref="A395:G395"/>
    <mergeCell ref="A2340:G2340"/>
    <mergeCell ref="A1585:G1585"/>
    <mergeCell ref="A2305:C2305"/>
    <mergeCell ref="A3276:G3276"/>
    <mergeCell ref="A1883:G1883"/>
    <mergeCell ref="A824:G824"/>
    <mergeCell ref="A1122:G1122"/>
    <mergeCell ref="A3067:G3067"/>
    <mergeCell ref="A2312:G2312"/>
    <mergeCell ref="A2035:G2035"/>
    <mergeCell ref="A1280:G1280"/>
    <mergeCell ref="A2000:C2000"/>
    <mergeCell ref="A2306:G2306"/>
    <mergeCell ref="A2339:G2339"/>
    <mergeCell ref="A2755:C2755"/>
    <mergeCell ref="A3365:G3365"/>
    <mergeCell ref="A3284:G3284"/>
    <mergeCell ref="A2640:G2640"/>
    <mergeCell ref="A2523:G2523"/>
    <mergeCell ref="A3367:G3367"/>
    <mergeCell ref="A1580:G1580"/>
    <mergeCell ref="A2337:G2337"/>
    <mergeCell ref="A2359:C2359"/>
    <mergeCell ref="A2031:C2031"/>
    <mergeCell ref="A998:G998"/>
    <mergeCell ref="D249:G249"/>
    <mergeCell ref="A552:G552"/>
    <mergeCell ref="A237:G237"/>
    <mergeCell ref="A535:G535"/>
    <mergeCell ref="A1725:G1725"/>
    <mergeCell ref="A423:G423"/>
    <mergeCell ref="A108:G108"/>
    <mergeCell ref="A1613:G1613"/>
    <mergeCell ref="A1298:G1298"/>
    <mergeCell ref="A1911:G1911"/>
    <mergeCell ref="A1936:G1936"/>
    <mergeCell ref="A2234:G2234"/>
    <mergeCell ref="A537:G537"/>
    <mergeCell ref="A118:G118"/>
    <mergeCell ref="A3418:G3418"/>
    <mergeCell ref="A2025:G2025"/>
    <mergeCell ref="D1303:G1303"/>
    <mergeCell ref="A2997:G2997"/>
    <mergeCell ref="A2991:G2991"/>
    <mergeCell ref="A1598:G1598"/>
    <mergeCell ref="A2236:G2236"/>
    <mergeCell ref="A3295:G3295"/>
    <mergeCell ref="A3426:G3426"/>
    <mergeCell ref="A227:C227"/>
    <mergeCell ref="A3447:G3447"/>
    <mergeCell ref="D1330:G1330"/>
    <mergeCell ref="A2536:G2536"/>
    <mergeCell ref="D2391:G2391"/>
    <mergeCell ref="A563:G563"/>
    <mergeCell ref="A3007:G3007"/>
    <mergeCell ref="A922:G922"/>
    <mergeCell ref="A2410:G2410"/>
    <mergeCell ref="A1351:G1351"/>
    <mergeCell ref="A716:C716"/>
    <mergeCell ref="A1649:G1649"/>
    <mergeCell ref="A590:G590"/>
    <mergeCell ref="A565:G565"/>
    <mergeCell ref="A894:G894"/>
    <mergeCell ref="A888:G888"/>
    <mergeCell ref="A924:G924"/>
    <mergeCell ref="A1228:G1228"/>
    <mergeCell ref="A2412:G2412"/>
    <mergeCell ref="A2710:G2710"/>
    <mergeCell ref="A3348:G3348"/>
    <mergeCell ref="A1949:G1949"/>
    <mergeCell ref="A1194:G1194"/>
    <mergeCell ref="A1339:C1339"/>
    <mergeCell ref="A917:G917"/>
    <mergeCell ref="A162:G162"/>
    <mergeCell ref="A3139:G3139"/>
    <mergeCell ref="A3437:G3437"/>
    <mergeCell ref="A2405:G2405"/>
    <mergeCell ref="A1346:G1346"/>
    <mergeCell ref="A3431:G3431"/>
    <mergeCell ref="A1522:G1522"/>
    <mergeCell ref="A2712:G2712"/>
    <mergeCell ref="A3350:G3350"/>
    <mergeCell ref="A3010:G3010"/>
    <mergeCell ref="A925:G925"/>
    <mergeCell ref="A3308:G3308"/>
    <mergeCell ref="A1223:G1223"/>
    <mergeCell ref="A3439:G3439"/>
    <mergeCell ref="A950:G950"/>
    <mergeCell ref="A195:G195"/>
    <mergeCell ref="A1248:G1248"/>
    <mergeCell ref="A2438:G2438"/>
    <mergeCell ref="A309:G309"/>
    <mergeCell ref="A1677:G1677"/>
    <mergeCell ref="A1975:G1975"/>
    <mergeCell ref="A1243:C1243"/>
    <mergeCell ref="D2919:G2919"/>
    <mergeCell ref="A188:G188"/>
    <mergeCell ref="A1214:G1214"/>
    <mergeCell ref="A2731:C2731"/>
    <mergeCell ref="A1250:G1250"/>
    <mergeCell ref="A495:G495"/>
    <mergeCell ref="A1554:G1554"/>
    <mergeCell ref="A1548:G1548"/>
    <mergeCell ref="A2738:G2738"/>
    <mergeCell ref="A3061:G3061"/>
    <mergeCell ref="A3036:G3036"/>
    <mergeCell ref="A951:G951"/>
    <mergeCell ref="A609:G609"/>
    <mergeCell ref="A1977:G1977"/>
    <mergeCell ref="A945:G945"/>
    <mergeCell ref="A68:G68"/>
    <mergeCell ref="A190:G190"/>
    <mergeCell ref="A272:C272"/>
    <mergeCell ref="A297:C297"/>
    <mergeCell ref="A1249:G1249"/>
    <mergeCell ref="A480:G480"/>
    <mergeCell ref="A3063:G3063"/>
    <mergeCell ref="A3038:G3038"/>
    <mergeCell ref="A953:G953"/>
    <mergeCell ref="A2302:G2302"/>
    <mergeCell ref="A1251:G1251"/>
    <mergeCell ref="A2606:G2606"/>
    <mergeCell ref="A1549:G1549"/>
    <mergeCell ref="A490:G490"/>
    <mergeCell ref="A3363:G3363"/>
    <mergeCell ref="D3402:G3402"/>
    <mergeCell ref="A2635:G2635"/>
    <mergeCell ref="A1576:G1576"/>
    <mergeCell ref="A1390:G1390"/>
    <mergeCell ref="A635:G635"/>
    <mergeCell ref="A2660:G2660"/>
    <mergeCell ref="A963:G963"/>
    <mergeCell ref="A208:G208"/>
    <mergeCell ref="A3089:G3089"/>
    <mergeCell ref="A664:G664"/>
    <mergeCell ref="D2061:G2061"/>
    <mergeCell ref="D2359:G2359"/>
    <mergeCell ref="A210:G210"/>
    <mergeCell ref="A2960:G2960"/>
    <mergeCell ref="A875:G875"/>
    <mergeCell ref="D1082:G1082"/>
    <mergeCell ref="A1901:G1901"/>
    <mergeCell ref="A1723:G1723"/>
    <mergeCell ref="A3091:G3091"/>
    <mergeCell ref="A2021:G2021"/>
    <mergeCell ref="A666:G666"/>
    <mergeCell ref="A1386:C1386"/>
    <mergeCell ref="A2015:G2015"/>
    <mergeCell ref="A964:G964"/>
    <mergeCell ref="A1380:C1380"/>
    <mergeCell ref="A2439:C2439"/>
    <mergeCell ref="D2185:G2185"/>
    <mergeCell ref="A203:G203"/>
    <mergeCell ref="A2355:G2355"/>
    <mergeCell ref="D1845:G1845"/>
    <mergeCell ref="A3074:G3074"/>
    <mergeCell ref="A2962:G2962"/>
    <mergeCell ref="A1175:G1175"/>
    <mergeCell ref="A2023:G2023"/>
    <mergeCell ref="A2365:G2365"/>
    <mergeCell ref="A2321:G2321"/>
    <mergeCell ref="A2663:G2663"/>
    <mergeCell ref="A1289:G1289"/>
    <mergeCell ref="D2145:G2145"/>
    <mergeCell ref="D2783:G2783"/>
    <mergeCell ref="D3117:G3117"/>
    <mergeCell ref="A1320:G1320"/>
    <mergeCell ref="A261:G261"/>
    <mergeCell ref="A350:G350"/>
    <mergeCell ref="A1015:G1015"/>
    <mergeCell ref="A138:G138"/>
    <mergeCell ref="A38:C38"/>
    <mergeCell ref="A2077:G2077"/>
    <mergeCell ref="A1322:G1322"/>
    <mergeCell ref="A2375:G2375"/>
    <mergeCell ref="A1620:G1620"/>
    <mergeCell ref="A561:G561"/>
    <mergeCell ref="A1742:G1742"/>
    <mergeCell ref="A859:G859"/>
    <mergeCell ref="A249:C249"/>
    <mergeCell ref="A2804:G2804"/>
    <mergeCell ref="A2076:G2076"/>
    <mergeCell ref="A1017:G1017"/>
    <mergeCell ref="A2043:G2043"/>
    <mergeCell ref="A2347:G2347"/>
    <mergeCell ref="A1315:G1315"/>
    <mergeCell ref="A256:G256"/>
    <mergeCell ref="A560:G560"/>
    <mergeCell ref="A3102:G3102"/>
    <mergeCell ref="A2377:G2377"/>
    <mergeCell ref="A1622:G1622"/>
    <mergeCell ref="A2681:G2681"/>
    <mergeCell ref="A1920:G1920"/>
    <mergeCell ref="D585:G585"/>
    <mergeCell ref="A133:G133"/>
    <mergeCell ref="A1780:G1780"/>
    <mergeCell ref="A2078:G2078"/>
    <mergeCell ref="D716:G716"/>
    <mergeCell ref="A264:G264"/>
    <mergeCell ref="A2376:G2376"/>
    <mergeCell ref="A1317:G1317"/>
    <mergeCell ref="A2647:G2647"/>
    <mergeCell ref="A3255:C3255"/>
    <mergeCell ref="D2204:G2204"/>
    <mergeCell ref="A3433:G3433"/>
    <mergeCell ref="D2496:G2496"/>
    <mergeCell ref="A1312:C1312"/>
    <mergeCell ref="D2532:G2532"/>
    <mergeCell ref="A3435:G3435"/>
    <mergeCell ref="A2378:G2378"/>
    <mergeCell ref="A1768:C1768"/>
    <mergeCell ref="D2713:G2713"/>
    <mergeCell ref="A2676:G2676"/>
    <mergeCell ref="A1617:G1617"/>
    <mergeCell ref="A1462:G1462"/>
    <mergeCell ref="A1375:G1375"/>
    <mergeCell ref="A1035:G1035"/>
    <mergeCell ref="A280:G280"/>
    <mergeCell ref="A1673:G1673"/>
    <mergeCell ref="A3278:G3278"/>
    <mergeCell ref="A1491:G1491"/>
    <mergeCell ref="A432:G432"/>
    <mergeCell ref="A1762:G1762"/>
    <mergeCell ref="A2517:G2517"/>
    <mergeCell ref="A730:G730"/>
    <mergeCell ref="A3237:C3237"/>
    <mergeCell ref="A2734:G2734"/>
    <mergeCell ref="A3032:G3032"/>
    <mergeCell ref="A1335:G1335"/>
    <mergeCell ref="A1973:G1973"/>
    <mergeCell ref="A2093:C2093"/>
    <mergeCell ref="A186:G186"/>
    <mergeCell ref="D613:G613"/>
    <mergeCell ref="A1493:G1493"/>
    <mergeCell ref="A1764:G1764"/>
    <mergeCell ref="A1154:C1154"/>
    <mergeCell ref="A1791:G1791"/>
    <mergeCell ref="A732:G732"/>
    <mergeCell ref="A2062:G2062"/>
    <mergeCell ref="A2823:G2823"/>
    <mergeCell ref="A1030:G1030"/>
    <mergeCell ref="A275:G275"/>
    <mergeCell ref="A3266:C3266"/>
    <mergeCell ref="A2736:G2736"/>
    <mergeCell ref="A3034:G3034"/>
    <mergeCell ref="A849:C849"/>
    <mergeCell ref="A3332:G3332"/>
    <mergeCell ref="A1247:G1247"/>
    <mergeCell ref="A2273:G2273"/>
    <mergeCell ref="A2722:C2722"/>
    <mergeCell ref="A1545:G1545"/>
    <mergeCell ref="A486:G486"/>
    <mergeCell ref="A146:G146"/>
    <mergeCell ref="A2091:G2091"/>
    <mergeCell ref="A6:G6"/>
    <mergeCell ref="A726:C726"/>
    <mergeCell ref="A1481:C1481"/>
    <mergeCell ref="A1974:G1974"/>
    <mergeCell ref="A2729:G2729"/>
    <mergeCell ref="A1781:C1781"/>
    <mergeCell ref="A1361:G1361"/>
    <mergeCell ref="A2447:G2447"/>
    <mergeCell ref="A1388:G1388"/>
    <mergeCell ref="A1686:G1686"/>
    <mergeCell ref="A1984:G1984"/>
    <mergeCell ref="A2876:G2876"/>
    <mergeCell ref="A1844:G1844"/>
    <mergeCell ref="A3174:G3174"/>
    <mergeCell ref="A2142:G2142"/>
    <mergeCell ref="A1265:G1265"/>
    <mergeCell ref="A2496:C2496"/>
    <mergeCell ref="A3204:G3204"/>
    <mergeCell ref="A2449:G2449"/>
    <mergeCell ref="D1429:G1429"/>
    <mergeCell ref="A2571:G2571"/>
    <mergeCell ref="A2747:G2747"/>
    <mergeCell ref="A662:G662"/>
    <mergeCell ref="A1688:G1688"/>
    <mergeCell ref="A2112:C2112"/>
    <mergeCell ref="A960:G960"/>
    <mergeCell ref="A3087:G3087"/>
    <mergeCell ref="A2905:G2905"/>
    <mergeCell ref="D1543:G1543"/>
    <mergeCell ref="A3176:G3176"/>
    <mergeCell ref="A3203:G3203"/>
    <mergeCell ref="A2144:G2144"/>
    <mergeCell ref="A1389:G1389"/>
    <mergeCell ref="A2442:G2442"/>
    <mergeCell ref="A1383:G1383"/>
    <mergeCell ref="A2900:C2900"/>
    <mergeCell ref="A2749:G2749"/>
    <mergeCell ref="D361:G361"/>
    <mergeCell ref="A2871:G2871"/>
    <mergeCell ref="A962:G962"/>
    <mergeCell ref="A1260:G1260"/>
    <mergeCell ref="A3205:G3205"/>
    <mergeCell ref="A2444:G2444"/>
    <mergeCell ref="A2661:G2661"/>
    <mergeCell ref="A987:G987"/>
    <mergeCell ref="A2475:G2475"/>
    <mergeCell ref="A346:G346"/>
    <mergeCell ref="A466:C466"/>
    <mergeCell ref="A2589:G2589"/>
    <mergeCell ref="A2592:C2592"/>
    <mergeCell ref="A674:G674"/>
    <mergeCell ref="A41:G41"/>
    <mergeCell ref="A2162:G2162"/>
    <mergeCell ref="A1407:G1407"/>
    <mergeCell ref="A690:G690"/>
    <mergeCell ref="A1749:G1749"/>
    <mergeCell ref="A375:G375"/>
    <mergeCell ref="D685:G685"/>
    <mergeCell ref="A988:G988"/>
    <mergeCell ref="A11:C11"/>
    <mergeCell ref="A1311:G1311"/>
    <mergeCell ref="A2460:G2460"/>
    <mergeCell ref="A2775:G2775"/>
    <mergeCell ref="A804:G804"/>
    <mergeCell ref="A2889:G2889"/>
    <mergeCell ref="A1102:G1102"/>
    <mergeCell ref="D2167:G2167"/>
    <mergeCell ref="A341:G341"/>
    <mergeCell ref="A3106:G3106"/>
    <mergeCell ref="A3100:G3100"/>
    <mergeCell ref="A1097:C1097"/>
    <mergeCell ref="A2372:G2372"/>
    <mergeCell ref="A675:G675"/>
    <mergeCell ref="A65:C65"/>
    <mergeCell ref="A1313:G1313"/>
    <mergeCell ref="A3258:G3258"/>
    <mergeCell ref="A3398:G3398"/>
    <mergeCell ref="D2194:G2194"/>
    <mergeCell ref="A1402:G1402"/>
    <mergeCell ref="A2374:G2374"/>
    <mergeCell ref="A975:G975"/>
    <mergeCell ref="D3255:G3255"/>
    <mergeCell ref="A2803:G2803"/>
    <mergeCell ref="A3101:G3101"/>
    <mergeCell ref="A2188:G2188"/>
    <mergeCell ref="A3274:G3274"/>
    <mergeCell ref="D1768:G1768"/>
    <mergeCell ref="A1758:G1758"/>
    <mergeCell ref="A1733:G1733"/>
    <mergeCell ref="A701:G701"/>
    <mergeCell ref="A2176:C2176"/>
    <mergeCell ref="A1453:G1453"/>
    <mergeCell ref="A2515:G2515"/>
    <mergeCell ref="A2819:G2819"/>
    <mergeCell ref="D740:G740"/>
    <mergeCell ref="A1787:G1787"/>
    <mergeCell ref="A2058:G2058"/>
    <mergeCell ref="A703:G703"/>
    <mergeCell ref="A2813:G2813"/>
    <mergeCell ref="A1026:G1026"/>
    <mergeCell ref="A271:G271"/>
    <mergeCell ref="A1001:G1001"/>
    <mergeCell ref="A3393:C3393"/>
    <mergeCell ref="A3269:G3269"/>
    <mergeCell ref="A2392:G2392"/>
    <mergeCell ref="A2514:G2514"/>
    <mergeCell ref="D2520:G2520"/>
    <mergeCell ref="A1789:G1789"/>
    <mergeCell ref="A2509:C2509"/>
    <mergeCell ref="D2854:G2854"/>
    <mergeCell ref="A2087:G2087"/>
    <mergeCell ref="A1028:G1028"/>
    <mergeCell ref="A273:G273"/>
    <mergeCell ref="D2093:G2093"/>
    <mergeCell ref="A1326:G1326"/>
    <mergeCell ref="D306:G306"/>
    <mergeCell ref="A2358:G2358"/>
    <mergeCell ref="A2516:G2516"/>
    <mergeCell ref="A2814:G2814"/>
    <mergeCell ref="A2204:C2204"/>
    <mergeCell ref="A2089:G2089"/>
    <mergeCell ref="A2809:C2809"/>
    <mergeCell ref="A2387:G2387"/>
    <mergeCell ref="A302:G302"/>
    <mergeCell ref="A3446:G3446"/>
    <mergeCell ref="A298:G298"/>
    <mergeCell ref="A1173:G1173"/>
    <mergeCell ref="A1813:G1813"/>
    <mergeCell ref="D451:G451"/>
    <mergeCell ref="A414:G414"/>
    <mergeCell ref="A1359:G1359"/>
    <mergeCell ref="A749:C749"/>
    <mergeCell ref="A327:G327"/>
    <mergeCell ref="A1657:G1657"/>
    <mergeCell ref="A2847:G2847"/>
    <mergeCell ref="A1473:G1473"/>
    <mergeCell ref="A1815:G1815"/>
    <mergeCell ref="A1771:G1771"/>
    <mergeCell ref="A416:G416"/>
    <mergeCell ref="A1054:G1054"/>
    <mergeCell ref="A2113:G2113"/>
    <mergeCell ref="A1352:G1352"/>
    <mergeCell ref="A293:G293"/>
    <mergeCell ref="D1941:G1941"/>
    <mergeCell ref="A2718:G2718"/>
    <mergeCell ref="A633:G633"/>
    <mergeCell ref="D840:G840"/>
    <mergeCell ref="A1049:C1049"/>
    <mergeCell ref="D2269:G2269"/>
    <mergeCell ref="A2140:G2140"/>
    <mergeCell ref="A747:G747"/>
    <mergeCell ref="A2115:G2115"/>
    <mergeCell ref="A2832:G2832"/>
    <mergeCell ref="A328:G328"/>
    <mergeCell ref="A599:G599"/>
    <mergeCell ref="A1354:G1354"/>
    <mergeCell ref="A284:G284"/>
    <mergeCell ref="A2867:G2867"/>
    <mergeCell ref="D3294:G3294"/>
    <mergeCell ref="A3201:G3201"/>
    <mergeCell ref="A2440:G2440"/>
    <mergeCell ref="D2112:G2112"/>
    <mergeCell ref="A1805:C1805"/>
    <mergeCell ref="A2415:G2415"/>
    <mergeCell ref="A2532:C2532"/>
    <mergeCell ref="A1499:G1499"/>
    <mergeCell ref="A1072:G1072"/>
    <mergeCell ref="A3315:G3315"/>
    <mergeCell ref="A1528:G1528"/>
    <mergeCell ref="A469:G469"/>
    <mergeCell ref="A773:G773"/>
    <mergeCell ref="A1799:G1799"/>
    <mergeCell ref="A12:G12"/>
    <mergeCell ref="A1065:G1065"/>
    <mergeCell ref="A1739:G1739"/>
    <mergeCell ref="A2587:G2587"/>
    <mergeCell ref="A2885:G2885"/>
    <mergeCell ref="A1530:G1530"/>
    <mergeCell ref="A775:G775"/>
    <mergeCell ref="A3227:G3227"/>
    <mergeCell ref="A2466:G2466"/>
    <mergeCell ref="A1073:G1073"/>
    <mergeCell ref="A14:G14"/>
    <mergeCell ref="D466:G466"/>
    <mergeCell ref="A312:G312"/>
    <mergeCell ref="A2580:G2580"/>
    <mergeCell ref="A2039:G2039"/>
    <mergeCell ref="A2887:G2887"/>
    <mergeCell ref="A3229:G3229"/>
    <mergeCell ref="A2159:G2159"/>
    <mergeCell ref="A1100:G1100"/>
    <mergeCell ref="A1830:G1830"/>
    <mergeCell ref="A3185:G3185"/>
    <mergeCell ref="A1398:G1398"/>
    <mergeCell ref="A43:G43"/>
    <mergeCell ref="A2766:G2766"/>
    <mergeCell ref="D38:G38"/>
    <mergeCell ref="A2886:G2886"/>
    <mergeCell ref="D1222:G1222"/>
    <mergeCell ref="A3187:G3187"/>
    <mergeCell ref="A2662:C2662"/>
    <mergeCell ref="A1400:G1400"/>
    <mergeCell ref="A2184:G2184"/>
    <mergeCell ref="A2484:G2484"/>
    <mergeCell ref="A399:G399"/>
    <mergeCell ref="A1425:G1425"/>
    <mergeCell ref="A697:G697"/>
    <mergeCell ref="A2642:G2642"/>
    <mergeCell ref="A2940:G2940"/>
    <mergeCell ref="A3211:G3211"/>
    <mergeCell ref="A488:G488"/>
    <mergeCell ref="D494:G494"/>
    <mergeCell ref="A1126:G1126"/>
    <mergeCell ref="A1424:G1424"/>
    <mergeCell ref="A25:G25"/>
    <mergeCell ref="A1460:G1460"/>
    <mergeCell ref="A1731:G1731"/>
    <mergeCell ref="A605:C605"/>
    <mergeCell ref="A1121:C1121"/>
    <mergeCell ref="A699:G699"/>
    <mergeCell ref="A2029:G2029"/>
    <mergeCell ref="A2486:G2486"/>
    <mergeCell ref="A997:G997"/>
    <mergeCell ref="A2942:G2942"/>
    <mergeCell ref="A2181:G2181"/>
    <mergeCell ref="A1426:G1426"/>
    <mergeCell ref="A2485:G2485"/>
    <mergeCell ref="D2176:G2176"/>
    <mergeCell ref="A394:G394"/>
    <mergeCell ref="A1724:G1724"/>
    <mergeCell ref="A2479:G2479"/>
    <mergeCell ref="D3366:G3366"/>
    <mergeCell ref="A1760:G1760"/>
    <mergeCell ref="A905:C905"/>
    <mergeCell ref="A999:G999"/>
    <mergeCell ref="A1297:G1297"/>
    <mergeCell ref="A3267:G3267"/>
    <mergeCell ref="D3237:G3237"/>
    <mergeCell ref="A1455:G1455"/>
    <mergeCell ref="A1726:G1726"/>
    <mergeCell ref="D1581:G1581"/>
    <mergeCell ref="D2634:G2634"/>
    <mergeCell ref="D1879:G1879"/>
    <mergeCell ref="A2197:G2197"/>
    <mergeCell ref="A112:G112"/>
    <mergeCell ref="A2626:G2626"/>
    <mergeCell ref="A839:G839"/>
    <mergeCell ref="A1444:G1444"/>
    <mergeCell ref="A2109:G2109"/>
    <mergeCell ref="A534:G534"/>
    <mergeCell ref="A3135:G3135"/>
    <mergeCell ref="A710:G710"/>
    <mergeCell ref="A2655:G2655"/>
    <mergeCell ref="A1596:G1596"/>
    <mergeCell ref="A841:G841"/>
    <mergeCell ref="A1900:G1900"/>
    <mergeCell ref="A1894:G1894"/>
    <mergeCell ref="A1139:G1139"/>
    <mergeCell ref="A1437:G1437"/>
    <mergeCell ref="A2627:G2627"/>
    <mergeCell ref="A2111:G2111"/>
    <mergeCell ref="A536:G536"/>
    <mergeCell ref="A2621:G2621"/>
    <mergeCell ref="A2409:G2409"/>
    <mergeCell ref="A712:G712"/>
    <mergeCell ref="A1902:G1902"/>
    <mergeCell ref="A2540:G2540"/>
    <mergeCell ref="D2652:G2652"/>
    <mergeCell ref="A870:G870"/>
    <mergeCell ref="A1141:G1141"/>
    <mergeCell ref="A1590:C1590"/>
    <mergeCell ref="A2200:G2200"/>
    <mergeCell ref="A1888:C1888"/>
    <mergeCell ref="D419:G419"/>
    <mergeCell ref="A2838:G2838"/>
    <mergeCell ref="A2955:G2955"/>
    <mergeCell ref="A3172:G3172"/>
    <mergeCell ref="A2411:G2411"/>
    <mergeCell ref="A836:G836"/>
    <mergeCell ref="A624:G624"/>
    <mergeCell ref="A1170:G1170"/>
    <mergeCell ref="A3138:G3138"/>
    <mergeCell ref="A438:G438"/>
    <mergeCell ref="A2711:G2711"/>
    <mergeCell ref="A3311:G3311"/>
    <mergeCell ref="D1805:G1805"/>
    <mergeCell ref="A1524:G1524"/>
    <mergeCell ref="A440:G440"/>
  </mergeCells>
  <hyperlinks>
    <hyperlink ref="A3" location="'Выбор тем'!A1" display="← К перечню тем"/>
    <hyperlink xmlns:r="http://schemas.openxmlformats.org/officeDocument/2006/relationships" ref="A11" r:id="rId1"/>
    <hyperlink xmlns:r="http://schemas.openxmlformats.org/officeDocument/2006/relationships" ref="D11" r:id="rId2"/>
    <hyperlink xmlns:r="http://schemas.openxmlformats.org/officeDocument/2006/relationships" ref="A20" r:id="rId3"/>
    <hyperlink xmlns:r="http://schemas.openxmlformats.org/officeDocument/2006/relationships" ref="D20" r:id="rId4"/>
    <hyperlink xmlns:r="http://schemas.openxmlformats.org/officeDocument/2006/relationships" ref="A29" r:id="rId5"/>
    <hyperlink xmlns:r="http://schemas.openxmlformats.org/officeDocument/2006/relationships" ref="D29" r:id="rId6"/>
    <hyperlink xmlns:r="http://schemas.openxmlformats.org/officeDocument/2006/relationships" ref="A38" r:id="rId7"/>
    <hyperlink xmlns:r="http://schemas.openxmlformats.org/officeDocument/2006/relationships" ref="D38" r:id="rId8"/>
    <hyperlink xmlns:r="http://schemas.openxmlformats.org/officeDocument/2006/relationships" ref="A47" r:id="rId9"/>
    <hyperlink xmlns:r="http://schemas.openxmlformats.org/officeDocument/2006/relationships" ref="D47" r:id="rId10"/>
    <hyperlink xmlns:r="http://schemas.openxmlformats.org/officeDocument/2006/relationships" ref="A56" r:id="rId11"/>
    <hyperlink xmlns:r="http://schemas.openxmlformats.org/officeDocument/2006/relationships" ref="D56" r:id="rId12"/>
    <hyperlink xmlns:r="http://schemas.openxmlformats.org/officeDocument/2006/relationships" ref="A65" r:id="rId13"/>
    <hyperlink xmlns:r="http://schemas.openxmlformats.org/officeDocument/2006/relationships" ref="D65" r:id="rId14"/>
    <hyperlink xmlns:r="http://schemas.openxmlformats.org/officeDocument/2006/relationships" ref="A74" r:id="rId15"/>
    <hyperlink xmlns:r="http://schemas.openxmlformats.org/officeDocument/2006/relationships" ref="D74" r:id="rId16"/>
    <hyperlink xmlns:r="http://schemas.openxmlformats.org/officeDocument/2006/relationships" ref="A83" r:id="rId17"/>
    <hyperlink xmlns:r="http://schemas.openxmlformats.org/officeDocument/2006/relationships" ref="D83" r:id="rId18"/>
    <hyperlink xmlns:r="http://schemas.openxmlformats.org/officeDocument/2006/relationships" ref="A96" r:id="rId19"/>
    <hyperlink xmlns:r="http://schemas.openxmlformats.org/officeDocument/2006/relationships" ref="D96" r:id="rId20"/>
    <hyperlink xmlns:r="http://schemas.openxmlformats.org/officeDocument/2006/relationships" ref="A105" r:id="rId21"/>
    <hyperlink xmlns:r="http://schemas.openxmlformats.org/officeDocument/2006/relationships" ref="D105" r:id="rId22"/>
    <hyperlink xmlns:r="http://schemas.openxmlformats.org/officeDocument/2006/relationships" ref="A114" r:id="rId23"/>
    <hyperlink xmlns:r="http://schemas.openxmlformats.org/officeDocument/2006/relationships" ref="D114" r:id="rId24"/>
    <hyperlink xmlns:r="http://schemas.openxmlformats.org/officeDocument/2006/relationships" ref="A123" r:id="rId25"/>
    <hyperlink xmlns:r="http://schemas.openxmlformats.org/officeDocument/2006/relationships" ref="D123" r:id="rId26"/>
    <hyperlink xmlns:r="http://schemas.openxmlformats.org/officeDocument/2006/relationships" ref="A132" r:id="rId27"/>
    <hyperlink xmlns:r="http://schemas.openxmlformats.org/officeDocument/2006/relationships" ref="D132" r:id="rId28"/>
    <hyperlink xmlns:r="http://schemas.openxmlformats.org/officeDocument/2006/relationships" ref="A145" r:id="rId29"/>
    <hyperlink xmlns:r="http://schemas.openxmlformats.org/officeDocument/2006/relationships" ref="D145" r:id="rId30"/>
    <hyperlink xmlns:r="http://schemas.openxmlformats.org/officeDocument/2006/relationships" ref="A154" r:id="rId31"/>
    <hyperlink xmlns:r="http://schemas.openxmlformats.org/officeDocument/2006/relationships" ref="D154" r:id="rId32"/>
    <hyperlink xmlns:r="http://schemas.openxmlformats.org/officeDocument/2006/relationships" ref="A164" r:id="rId33"/>
    <hyperlink xmlns:r="http://schemas.openxmlformats.org/officeDocument/2006/relationships" ref="D164" r:id="rId34"/>
    <hyperlink xmlns:r="http://schemas.openxmlformats.org/officeDocument/2006/relationships" ref="A173" r:id="rId35"/>
    <hyperlink xmlns:r="http://schemas.openxmlformats.org/officeDocument/2006/relationships" ref="D173" r:id="rId36"/>
    <hyperlink xmlns:r="http://schemas.openxmlformats.org/officeDocument/2006/relationships" ref="A197" r:id="rId37"/>
    <hyperlink xmlns:r="http://schemas.openxmlformats.org/officeDocument/2006/relationships" ref="D197" r:id="rId38"/>
    <hyperlink xmlns:r="http://schemas.openxmlformats.org/officeDocument/2006/relationships" ref="A212" r:id="rId39"/>
    <hyperlink xmlns:r="http://schemas.openxmlformats.org/officeDocument/2006/relationships" ref="D212" r:id="rId40"/>
    <hyperlink xmlns:r="http://schemas.openxmlformats.org/officeDocument/2006/relationships" ref="A221" r:id="rId41"/>
    <hyperlink xmlns:r="http://schemas.openxmlformats.org/officeDocument/2006/relationships" ref="D221" r:id="rId42"/>
    <hyperlink xmlns:r="http://schemas.openxmlformats.org/officeDocument/2006/relationships" ref="A227" r:id="rId43"/>
    <hyperlink xmlns:r="http://schemas.openxmlformats.org/officeDocument/2006/relationships" ref="D227" r:id="rId44"/>
    <hyperlink xmlns:r="http://schemas.openxmlformats.org/officeDocument/2006/relationships" ref="A236" r:id="rId45"/>
    <hyperlink xmlns:r="http://schemas.openxmlformats.org/officeDocument/2006/relationships" ref="D236" r:id="rId46"/>
    <hyperlink xmlns:r="http://schemas.openxmlformats.org/officeDocument/2006/relationships" ref="A249" r:id="rId47"/>
    <hyperlink xmlns:r="http://schemas.openxmlformats.org/officeDocument/2006/relationships" ref="D249" r:id="rId48"/>
    <hyperlink xmlns:r="http://schemas.openxmlformats.org/officeDocument/2006/relationships" ref="A263" r:id="rId49"/>
    <hyperlink xmlns:r="http://schemas.openxmlformats.org/officeDocument/2006/relationships" ref="D263" r:id="rId50"/>
    <hyperlink xmlns:r="http://schemas.openxmlformats.org/officeDocument/2006/relationships" ref="A272" r:id="rId51"/>
    <hyperlink xmlns:r="http://schemas.openxmlformats.org/officeDocument/2006/relationships" ref="D272" r:id="rId52"/>
    <hyperlink xmlns:r="http://schemas.openxmlformats.org/officeDocument/2006/relationships" ref="A288" r:id="rId53"/>
    <hyperlink xmlns:r="http://schemas.openxmlformats.org/officeDocument/2006/relationships" ref="D288" r:id="rId54"/>
    <hyperlink xmlns:r="http://schemas.openxmlformats.org/officeDocument/2006/relationships" ref="A297" r:id="rId55"/>
    <hyperlink xmlns:r="http://schemas.openxmlformats.org/officeDocument/2006/relationships" ref="D297" r:id="rId56"/>
    <hyperlink xmlns:r="http://schemas.openxmlformats.org/officeDocument/2006/relationships" ref="A306" r:id="rId57"/>
    <hyperlink xmlns:r="http://schemas.openxmlformats.org/officeDocument/2006/relationships" ref="D306" r:id="rId58"/>
    <hyperlink xmlns:r="http://schemas.openxmlformats.org/officeDocument/2006/relationships" ref="A317" r:id="rId59"/>
    <hyperlink xmlns:r="http://schemas.openxmlformats.org/officeDocument/2006/relationships" ref="D317" r:id="rId60"/>
    <hyperlink xmlns:r="http://schemas.openxmlformats.org/officeDocument/2006/relationships" ref="A332" r:id="rId61"/>
    <hyperlink xmlns:r="http://schemas.openxmlformats.org/officeDocument/2006/relationships" ref="D332" r:id="rId62"/>
    <hyperlink xmlns:r="http://schemas.openxmlformats.org/officeDocument/2006/relationships" ref="A343" r:id="rId63"/>
    <hyperlink xmlns:r="http://schemas.openxmlformats.org/officeDocument/2006/relationships" ref="D343" r:id="rId64"/>
    <hyperlink xmlns:r="http://schemas.openxmlformats.org/officeDocument/2006/relationships" ref="A352" r:id="rId65"/>
    <hyperlink xmlns:r="http://schemas.openxmlformats.org/officeDocument/2006/relationships" ref="D352" r:id="rId66"/>
    <hyperlink xmlns:r="http://schemas.openxmlformats.org/officeDocument/2006/relationships" ref="A361" r:id="rId67"/>
    <hyperlink xmlns:r="http://schemas.openxmlformats.org/officeDocument/2006/relationships" ref="D361" r:id="rId68"/>
    <hyperlink xmlns:r="http://schemas.openxmlformats.org/officeDocument/2006/relationships" ref="A366" r:id="rId69"/>
    <hyperlink xmlns:r="http://schemas.openxmlformats.org/officeDocument/2006/relationships" ref="D366" r:id="rId70"/>
    <hyperlink xmlns:r="http://schemas.openxmlformats.org/officeDocument/2006/relationships" ref="A378" r:id="rId71"/>
    <hyperlink xmlns:r="http://schemas.openxmlformats.org/officeDocument/2006/relationships" ref="D378" r:id="rId72"/>
    <hyperlink xmlns:r="http://schemas.openxmlformats.org/officeDocument/2006/relationships" ref="A388" r:id="rId73"/>
    <hyperlink xmlns:r="http://schemas.openxmlformats.org/officeDocument/2006/relationships" ref="D388" r:id="rId74"/>
    <hyperlink xmlns:r="http://schemas.openxmlformats.org/officeDocument/2006/relationships" ref="A401" r:id="rId75"/>
    <hyperlink xmlns:r="http://schemas.openxmlformats.org/officeDocument/2006/relationships" ref="D401" r:id="rId76"/>
    <hyperlink xmlns:r="http://schemas.openxmlformats.org/officeDocument/2006/relationships" ref="A410" r:id="rId77"/>
    <hyperlink xmlns:r="http://schemas.openxmlformats.org/officeDocument/2006/relationships" ref="D410" r:id="rId78"/>
    <hyperlink xmlns:r="http://schemas.openxmlformats.org/officeDocument/2006/relationships" ref="A419" r:id="rId79"/>
    <hyperlink xmlns:r="http://schemas.openxmlformats.org/officeDocument/2006/relationships" ref="D419" r:id="rId80"/>
    <hyperlink xmlns:r="http://schemas.openxmlformats.org/officeDocument/2006/relationships" ref="A428" r:id="rId81"/>
    <hyperlink xmlns:r="http://schemas.openxmlformats.org/officeDocument/2006/relationships" ref="D428" r:id="rId82"/>
    <hyperlink xmlns:r="http://schemas.openxmlformats.org/officeDocument/2006/relationships" ref="A437" r:id="rId83"/>
    <hyperlink xmlns:r="http://schemas.openxmlformats.org/officeDocument/2006/relationships" ref="D437" r:id="rId84"/>
    <hyperlink xmlns:r="http://schemas.openxmlformats.org/officeDocument/2006/relationships" ref="A451" r:id="rId85"/>
    <hyperlink xmlns:r="http://schemas.openxmlformats.org/officeDocument/2006/relationships" ref="D451" r:id="rId86"/>
    <hyperlink xmlns:r="http://schemas.openxmlformats.org/officeDocument/2006/relationships" ref="A466" r:id="rId87"/>
    <hyperlink xmlns:r="http://schemas.openxmlformats.org/officeDocument/2006/relationships" ref="D466" r:id="rId88"/>
    <hyperlink xmlns:r="http://schemas.openxmlformats.org/officeDocument/2006/relationships" ref="A482" r:id="rId89"/>
    <hyperlink xmlns:r="http://schemas.openxmlformats.org/officeDocument/2006/relationships" ref="D482" r:id="rId90"/>
    <hyperlink xmlns:r="http://schemas.openxmlformats.org/officeDocument/2006/relationships" ref="A494" r:id="rId91"/>
    <hyperlink xmlns:r="http://schemas.openxmlformats.org/officeDocument/2006/relationships" ref="D494" r:id="rId92"/>
    <hyperlink xmlns:r="http://schemas.openxmlformats.org/officeDocument/2006/relationships" ref="A503" r:id="rId93"/>
    <hyperlink xmlns:r="http://schemas.openxmlformats.org/officeDocument/2006/relationships" ref="D503" r:id="rId94"/>
    <hyperlink xmlns:r="http://schemas.openxmlformats.org/officeDocument/2006/relationships" ref="A518" r:id="rId95"/>
    <hyperlink xmlns:r="http://schemas.openxmlformats.org/officeDocument/2006/relationships" ref="D518" r:id="rId96"/>
    <hyperlink xmlns:r="http://schemas.openxmlformats.org/officeDocument/2006/relationships" ref="A527" r:id="rId97"/>
    <hyperlink xmlns:r="http://schemas.openxmlformats.org/officeDocument/2006/relationships" ref="D527" r:id="rId98"/>
    <hyperlink xmlns:r="http://schemas.openxmlformats.org/officeDocument/2006/relationships" ref="A539" r:id="rId99"/>
    <hyperlink xmlns:r="http://schemas.openxmlformats.org/officeDocument/2006/relationships" ref="D539" r:id="rId100"/>
    <hyperlink xmlns:r="http://schemas.openxmlformats.org/officeDocument/2006/relationships" ref="A548" r:id="rId101"/>
    <hyperlink xmlns:r="http://schemas.openxmlformats.org/officeDocument/2006/relationships" ref="D548" r:id="rId102"/>
    <hyperlink xmlns:r="http://schemas.openxmlformats.org/officeDocument/2006/relationships" ref="A557" r:id="rId103"/>
    <hyperlink xmlns:r="http://schemas.openxmlformats.org/officeDocument/2006/relationships" ref="D557" r:id="rId104"/>
    <hyperlink xmlns:r="http://schemas.openxmlformats.org/officeDocument/2006/relationships" ref="A571" r:id="rId105"/>
    <hyperlink xmlns:r="http://schemas.openxmlformats.org/officeDocument/2006/relationships" ref="D571" r:id="rId106"/>
    <hyperlink xmlns:r="http://schemas.openxmlformats.org/officeDocument/2006/relationships" ref="A585" r:id="rId107"/>
    <hyperlink xmlns:r="http://schemas.openxmlformats.org/officeDocument/2006/relationships" ref="D585" r:id="rId108"/>
    <hyperlink xmlns:r="http://schemas.openxmlformats.org/officeDocument/2006/relationships" ref="A595" r:id="rId109"/>
    <hyperlink xmlns:r="http://schemas.openxmlformats.org/officeDocument/2006/relationships" ref="D595" r:id="rId110"/>
    <hyperlink xmlns:r="http://schemas.openxmlformats.org/officeDocument/2006/relationships" ref="A605" r:id="rId111"/>
    <hyperlink xmlns:r="http://schemas.openxmlformats.org/officeDocument/2006/relationships" ref="D605" r:id="rId112"/>
    <hyperlink xmlns:r="http://schemas.openxmlformats.org/officeDocument/2006/relationships" ref="A613" r:id="rId113"/>
    <hyperlink xmlns:r="http://schemas.openxmlformats.org/officeDocument/2006/relationships" ref="D613" r:id="rId114"/>
    <hyperlink xmlns:r="http://schemas.openxmlformats.org/officeDocument/2006/relationships" ref="A628" r:id="rId115"/>
    <hyperlink xmlns:r="http://schemas.openxmlformats.org/officeDocument/2006/relationships" ref="D628" r:id="rId116"/>
    <hyperlink xmlns:r="http://schemas.openxmlformats.org/officeDocument/2006/relationships" ref="A636" r:id="rId117"/>
    <hyperlink xmlns:r="http://schemas.openxmlformats.org/officeDocument/2006/relationships" ref="D636" r:id="rId118"/>
    <hyperlink xmlns:r="http://schemas.openxmlformats.org/officeDocument/2006/relationships" ref="A647" r:id="rId119"/>
    <hyperlink xmlns:r="http://schemas.openxmlformats.org/officeDocument/2006/relationships" ref="D647" r:id="rId120"/>
    <hyperlink xmlns:r="http://schemas.openxmlformats.org/officeDocument/2006/relationships" ref="A661" r:id="rId121"/>
    <hyperlink xmlns:r="http://schemas.openxmlformats.org/officeDocument/2006/relationships" ref="D661" r:id="rId122"/>
    <hyperlink xmlns:r="http://schemas.openxmlformats.org/officeDocument/2006/relationships" ref="A667" r:id="rId123"/>
    <hyperlink xmlns:r="http://schemas.openxmlformats.org/officeDocument/2006/relationships" ref="D667" r:id="rId124"/>
    <hyperlink xmlns:r="http://schemas.openxmlformats.org/officeDocument/2006/relationships" ref="A677" r:id="rId125"/>
    <hyperlink xmlns:r="http://schemas.openxmlformats.org/officeDocument/2006/relationships" ref="D677" r:id="rId126"/>
    <hyperlink xmlns:r="http://schemas.openxmlformats.org/officeDocument/2006/relationships" ref="A685" r:id="rId127"/>
    <hyperlink xmlns:r="http://schemas.openxmlformats.org/officeDocument/2006/relationships" ref="D685" r:id="rId128"/>
    <hyperlink xmlns:r="http://schemas.openxmlformats.org/officeDocument/2006/relationships" ref="A693" r:id="rId129"/>
    <hyperlink xmlns:r="http://schemas.openxmlformats.org/officeDocument/2006/relationships" ref="D693" r:id="rId130"/>
    <hyperlink xmlns:r="http://schemas.openxmlformats.org/officeDocument/2006/relationships" ref="A716" r:id="rId131"/>
    <hyperlink xmlns:r="http://schemas.openxmlformats.org/officeDocument/2006/relationships" ref="D716" r:id="rId132"/>
    <hyperlink xmlns:r="http://schemas.openxmlformats.org/officeDocument/2006/relationships" ref="A726" r:id="rId133"/>
    <hyperlink xmlns:r="http://schemas.openxmlformats.org/officeDocument/2006/relationships" ref="D726" r:id="rId134"/>
    <hyperlink xmlns:r="http://schemas.openxmlformats.org/officeDocument/2006/relationships" ref="A740" r:id="rId135"/>
    <hyperlink xmlns:r="http://schemas.openxmlformats.org/officeDocument/2006/relationships" ref="D740" r:id="rId136"/>
    <hyperlink xmlns:r="http://schemas.openxmlformats.org/officeDocument/2006/relationships" ref="A749" r:id="rId137"/>
    <hyperlink xmlns:r="http://schemas.openxmlformats.org/officeDocument/2006/relationships" ref="D749" r:id="rId138"/>
    <hyperlink xmlns:r="http://schemas.openxmlformats.org/officeDocument/2006/relationships" ref="A758" r:id="rId139"/>
    <hyperlink xmlns:r="http://schemas.openxmlformats.org/officeDocument/2006/relationships" ref="D758" r:id="rId140"/>
    <hyperlink xmlns:r="http://schemas.openxmlformats.org/officeDocument/2006/relationships" ref="A767" r:id="rId141"/>
    <hyperlink xmlns:r="http://schemas.openxmlformats.org/officeDocument/2006/relationships" ref="D767" r:id="rId142"/>
    <hyperlink xmlns:r="http://schemas.openxmlformats.org/officeDocument/2006/relationships" ref="A777" r:id="rId143"/>
    <hyperlink xmlns:r="http://schemas.openxmlformats.org/officeDocument/2006/relationships" ref="D777" r:id="rId144"/>
    <hyperlink xmlns:r="http://schemas.openxmlformats.org/officeDocument/2006/relationships" ref="A790" r:id="rId145"/>
    <hyperlink xmlns:r="http://schemas.openxmlformats.org/officeDocument/2006/relationships" ref="D790" r:id="rId146"/>
    <hyperlink xmlns:r="http://schemas.openxmlformats.org/officeDocument/2006/relationships" ref="A805" r:id="rId147"/>
    <hyperlink xmlns:r="http://schemas.openxmlformats.org/officeDocument/2006/relationships" ref="D805" r:id="rId148"/>
    <hyperlink xmlns:r="http://schemas.openxmlformats.org/officeDocument/2006/relationships" ref="A817" r:id="rId149"/>
    <hyperlink xmlns:r="http://schemas.openxmlformats.org/officeDocument/2006/relationships" ref="D817" r:id="rId150"/>
    <hyperlink xmlns:r="http://schemas.openxmlformats.org/officeDocument/2006/relationships" ref="A826" r:id="rId151"/>
    <hyperlink xmlns:r="http://schemas.openxmlformats.org/officeDocument/2006/relationships" ref="D826" r:id="rId152"/>
    <hyperlink xmlns:r="http://schemas.openxmlformats.org/officeDocument/2006/relationships" ref="A840" r:id="rId153"/>
    <hyperlink xmlns:r="http://schemas.openxmlformats.org/officeDocument/2006/relationships" ref="D840" r:id="rId154"/>
    <hyperlink xmlns:r="http://schemas.openxmlformats.org/officeDocument/2006/relationships" ref="A849" r:id="rId155"/>
    <hyperlink xmlns:r="http://schemas.openxmlformats.org/officeDocument/2006/relationships" ref="D849" r:id="rId156"/>
    <hyperlink xmlns:r="http://schemas.openxmlformats.org/officeDocument/2006/relationships" ref="A858" r:id="rId157"/>
    <hyperlink xmlns:r="http://schemas.openxmlformats.org/officeDocument/2006/relationships" ref="D858" r:id="rId158"/>
    <hyperlink xmlns:r="http://schemas.openxmlformats.org/officeDocument/2006/relationships" ref="A867" r:id="rId159"/>
    <hyperlink xmlns:r="http://schemas.openxmlformats.org/officeDocument/2006/relationships" ref="D867" r:id="rId160"/>
    <hyperlink xmlns:r="http://schemas.openxmlformats.org/officeDocument/2006/relationships" ref="A878" r:id="rId161"/>
    <hyperlink xmlns:r="http://schemas.openxmlformats.org/officeDocument/2006/relationships" ref="D878" r:id="rId162"/>
    <hyperlink xmlns:r="http://schemas.openxmlformats.org/officeDocument/2006/relationships" ref="A887" r:id="rId163"/>
    <hyperlink xmlns:r="http://schemas.openxmlformats.org/officeDocument/2006/relationships" ref="D887" r:id="rId164"/>
    <hyperlink xmlns:r="http://schemas.openxmlformats.org/officeDocument/2006/relationships" ref="A896" r:id="rId165"/>
    <hyperlink xmlns:r="http://schemas.openxmlformats.org/officeDocument/2006/relationships" ref="D896" r:id="rId166"/>
    <hyperlink xmlns:r="http://schemas.openxmlformats.org/officeDocument/2006/relationships" ref="A905" r:id="rId167"/>
    <hyperlink xmlns:r="http://schemas.openxmlformats.org/officeDocument/2006/relationships" ref="D905" r:id="rId168"/>
    <hyperlink xmlns:r="http://schemas.openxmlformats.org/officeDocument/2006/relationships" ref="A914" r:id="rId169"/>
    <hyperlink xmlns:r="http://schemas.openxmlformats.org/officeDocument/2006/relationships" ref="D914" r:id="rId170"/>
    <hyperlink xmlns:r="http://schemas.openxmlformats.org/officeDocument/2006/relationships" ref="A926" r:id="rId171"/>
    <hyperlink xmlns:r="http://schemas.openxmlformats.org/officeDocument/2006/relationships" ref="D926" r:id="rId172"/>
    <hyperlink xmlns:r="http://schemas.openxmlformats.org/officeDocument/2006/relationships" ref="A935" r:id="rId173"/>
    <hyperlink xmlns:r="http://schemas.openxmlformats.org/officeDocument/2006/relationships" ref="D935" r:id="rId174"/>
    <hyperlink xmlns:r="http://schemas.openxmlformats.org/officeDocument/2006/relationships" ref="A944" r:id="rId175"/>
    <hyperlink xmlns:r="http://schemas.openxmlformats.org/officeDocument/2006/relationships" ref="D944" r:id="rId176"/>
    <hyperlink xmlns:r="http://schemas.openxmlformats.org/officeDocument/2006/relationships" ref="A959" r:id="rId177"/>
    <hyperlink xmlns:r="http://schemas.openxmlformats.org/officeDocument/2006/relationships" ref="D959" r:id="rId178"/>
    <hyperlink xmlns:r="http://schemas.openxmlformats.org/officeDocument/2006/relationships" ref="A971" r:id="rId179"/>
    <hyperlink xmlns:r="http://schemas.openxmlformats.org/officeDocument/2006/relationships" ref="D971" r:id="rId180"/>
    <hyperlink xmlns:r="http://schemas.openxmlformats.org/officeDocument/2006/relationships" ref="A980" r:id="rId181"/>
    <hyperlink xmlns:r="http://schemas.openxmlformats.org/officeDocument/2006/relationships" ref="D980" r:id="rId182"/>
    <hyperlink xmlns:r="http://schemas.openxmlformats.org/officeDocument/2006/relationships" ref="A993" r:id="rId183"/>
    <hyperlink xmlns:r="http://schemas.openxmlformats.org/officeDocument/2006/relationships" ref="D993" r:id="rId184"/>
    <hyperlink xmlns:r="http://schemas.openxmlformats.org/officeDocument/2006/relationships" ref="A1002" r:id="rId185"/>
    <hyperlink xmlns:r="http://schemas.openxmlformats.org/officeDocument/2006/relationships" ref="D1002" r:id="rId186"/>
    <hyperlink xmlns:r="http://schemas.openxmlformats.org/officeDocument/2006/relationships" ref="A1011" r:id="rId187"/>
    <hyperlink xmlns:r="http://schemas.openxmlformats.org/officeDocument/2006/relationships" ref="D1011" r:id="rId188"/>
    <hyperlink xmlns:r="http://schemas.openxmlformats.org/officeDocument/2006/relationships" ref="A1020" r:id="rId189"/>
    <hyperlink xmlns:r="http://schemas.openxmlformats.org/officeDocument/2006/relationships" ref="D1020" r:id="rId190"/>
    <hyperlink xmlns:r="http://schemas.openxmlformats.org/officeDocument/2006/relationships" ref="A1029" r:id="rId191"/>
    <hyperlink xmlns:r="http://schemas.openxmlformats.org/officeDocument/2006/relationships" ref="D1029" r:id="rId192"/>
    <hyperlink xmlns:r="http://schemas.openxmlformats.org/officeDocument/2006/relationships" ref="A1038" r:id="rId193"/>
    <hyperlink xmlns:r="http://schemas.openxmlformats.org/officeDocument/2006/relationships" ref="D1038" r:id="rId194"/>
    <hyperlink xmlns:r="http://schemas.openxmlformats.org/officeDocument/2006/relationships" ref="A1049" r:id="rId195"/>
    <hyperlink xmlns:r="http://schemas.openxmlformats.org/officeDocument/2006/relationships" ref="D1049" r:id="rId196"/>
    <hyperlink xmlns:r="http://schemas.openxmlformats.org/officeDocument/2006/relationships" ref="A1058" r:id="rId197"/>
    <hyperlink xmlns:r="http://schemas.openxmlformats.org/officeDocument/2006/relationships" ref="D1058" r:id="rId198"/>
    <hyperlink xmlns:r="http://schemas.openxmlformats.org/officeDocument/2006/relationships" ref="A1077" r:id="rId199"/>
    <hyperlink xmlns:r="http://schemas.openxmlformats.org/officeDocument/2006/relationships" ref="D1077" r:id="rId200"/>
    <hyperlink xmlns:r="http://schemas.openxmlformats.org/officeDocument/2006/relationships" ref="A1082" r:id="rId201"/>
    <hyperlink xmlns:r="http://schemas.openxmlformats.org/officeDocument/2006/relationships" ref="D1082" r:id="rId202"/>
    <hyperlink xmlns:r="http://schemas.openxmlformats.org/officeDocument/2006/relationships" ref="A1097" r:id="rId203"/>
    <hyperlink xmlns:r="http://schemas.openxmlformats.org/officeDocument/2006/relationships" ref="D1097" r:id="rId204"/>
    <hyperlink xmlns:r="http://schemas.openxmlformats.org/officeDocument/2006/relationships" ref="A1110" r:id="rId205"/>
    <hyperlink xmlns:r="http://schemas.openxmlformats.org/officeDocument/2006/relationships" ref="D1110" r:id="rId206"/>
    <hyperlink xmlns:r="http://schemas.openxmlformats.org/officeDocument/2006/relationships" ref="A1121" r:id="rId207"/>
    <hyperlink xmlns:r="http://schemas.openxmlformats.org/officeDocument/2006/relationships" ref="D1121" r:id="rId208"/>
    <hyperlink xmlns:r="http://schemas.openxmlformats.org/officeDocument/2006/relationships" ref="A1131" r:id="rId209"/>
    <hyperlink xmlns:r="http://schemas.openxmlformats.org/officeDocument/2006/relationships" ref="D1131" r:id="rId210"/>
    <hyperlink xmlns:r="http://schemas.openxmlformats.org/officeDocument/2006/relationships" ref="A1149" r:id="rId211"/>
    <hyperlink xmlns:r="http://schemas.openxmlformats.org/officeDocument/2006/relationships" ref="D1149" r:id="rId212"/>
    <hyperlink xmlns:r="http://schemas.openxmlformats.org/officeDocument/2006/relationships" ref="A1154" r:id="rId213"/>
    <hyperlink xmlns:r="http://schemas.openxmlformats.org/officeDocument/2006/relationships" ref="D1154" r:id="rId214"/>
    <hyperlink xmlns:r="http://schemas.openxmlformats.org/officeDocument/2006/relationships" ref="A1166" r:id="rId215"/>
    <hyperlink xmlns:r="http://schemas.openxmlformats.org/officeDocument/2006/relationships" ref="D1166" r:id="rId216"/>
    <hyperlink xmlns:r="http://schemas.openxmlformats.org/officeDocument/2006/relationships" ref="A1177" r:id="rId217"/>
    <hyperlink xmlns:r="http://schemas.openxmlformats.org/officeDocument/2006/relationships" ref="D1177" r:id="rId218"/>
    <hyperlink xmlns:r="http://schemas.openxmlformats.org/officeDocument/2006/relationships" ref="A1186" r:id="rId219"/>
    <hyperlink xmlns:r="http://schemas.openxmlformats.org/officeDocument/2006/relationships" ref="D1186" r:id="rId220"/>
    <hyperlink xmlns:r="http://schemas.openxmlformats.org/officeDocument/2006/relationships" ref="A1195" r:id="rId221"/>
    <hyperlink xmlns:r="http://schemas.openxmlformats.org/officeDocument/2006/relationships" ref="D1195" r:id="rId222"/>
    <hyperlink xmlns:r="http://schemas.openxmlformats.org/officeDocument/2006/relationships" ref="A1204" r:id="rId223"/>
    <hyperlink xmlns:r="http://schemas.openxmlformats.org/officeDocument/2006/relationships" ref="D1204" r:id="rId224"/>
    <hyperlink xmlns:r="http://schemas.openxmlformats.org/officeDocument/2006/relationships" ref="A1213" r:id="rId225"/>
    <hyperlink xmlns:r="http://schemas.openxmlformats.org/officeDocument/2006/relationships" ref="D1213" r:id="rId226"/>
    <hyperlink xmlns:r="http://schemas.openxmlformats.org/officeDocument/2006/relationships" ref="A1222" r:id="rId227"/>
    <hyperlink xmlns:r="http://schemas.openxmlformats.org/officeDocument/2006/relationships" ref="D1222" r:id="rId228"/>
    <hyperlink xmlns:r="http://schemas.openxmlformats.org/officeDocument/2006/relationships" ref="A1231" r:id="rId229"/>
    <hyperlink xmlns:r="http://schemas.openxmlformats.org/officeDocument/2006/relationships" ref="D1231" r:id="rId230"/>
    <hyperlink xmlns:r="http://schemas.openxmlformats.org/officeDocument/2006/relationships" ref="A1243" r:id="rId231"/>
    <hyperlink xmlns:r="http://schemas.openxmlformats.org/officeDocument/2006/relationships" ref="D1243" r:id="rId232"/>
    <hyperlink xmlns:r="http://schemas.openxmlformats.org/officeDocument/2006/relationships" ref="A1252" r:id="rId233"/>
    <hyperlink xmlns:r="http://schemas.openxmlformats.org/officeDocument/2006/relationships" ref="D1252" r:id="rId234"/>
    <hyperlink xmlns:r="http://schemas.openxmlformats.org/officeDocument/2006/relationships" ref="A1261" r:id="rId235"/>
    <hyperlink xmlns:r="http://schemas.openxmlformats.org/officeDocument/2006/relationships" ref="D1261" r:id="rId236"/>
    <hyperlink xmlns:r="http://schemas.openxmlformats.org/officeDocument/2006/relationships" ref="A1270" r:id="rId237"/>
    <hyperlink xmlns:r="http://schemas.openxmlformats.org/officeDocument/2006/relationships" ref="D1270" r:id="rId238"/>
    <hyperlink xmlns:r="http://schemas.openxmlformats.org/officeDocument/2006/relationships" ref="A1279" r:id="rId239"/>
    <hyperlink xmlns:r="http://schemas.openxmlformats.org/officeDocument/2006/relationships" ref="D1279" r:id="rId240"/>
    <hyperlink xmlns:r="http://schemas.openxmlformats.org/officeDocument/2006/relationships" ref="A1288" r:id="rId241"/>
    <hyperlink xmlns:r="http://schemas.openxmlformats.org/officeDocument/2006/relationships" ref="D1288" r:id="rId242"/>
    <hyperlink xmlns:r="http://schemas.openxmlformats.org/officeDocument/2006/relationships" ref="A1303" r:id="rId243"/>
    <hyperlink xmlns:r="http://schemas.openxmlformats.org/officeDocument/2006/relationships" ref="D1303" r:id="rId244"/>
    <hyperlink xmlns:r="http://schemas.openxmlformats.org/officeDocument/2006/relationships" ref="A1312" r:id="rId245"/>
    <hyperlink xmlns:r="http://schemas.openxmlformats.org/officeDocument/2006/relationships" ref="D1312" r:id="rId246"/>
    <hyperlink xmlns:r="http://schemas.openxmlformats.org/officeDocument/2006/relationships" ref="A1321" r:id="rId247"/>
    <hyperlink xmlns:r="http://schemas.openxmlformats.org/officeDocument/2006/relationships" ref="D1321" r:id="rId248"/>
    <hyperlink xmlns:r="http://schemas.openxmlformats.org/officeDocument/2006/relationships" ref="A1330" r:id="rId249"/>
    <hyperlink xmlns:r="http://schemas.openxmlformats.org/officeDocument/2006/relationships" ref="D1330" r:id="rId250"/>
    <hyperlink xmlns:r="http://schemas.openxmlformats.org/officeDocument/2006/relationships" ref="A1339" r:id="rId251"/>
    <hyperlink xmlns:r="http://schemas.openxmlformats.org/officeDocument/2006/relationships" ref="D1339" r:id="rId252"/>
    <hyperlink xmlns:r="http://schemas.openxmlformats.org/officeDocument/2006/relationships" ref="A1348" r:id="rId253"/>
    <hyperlink xmlns:r="http://schemas.openxmlformats.org/officeDocument/2006/relationships" ref="D1348" r:id="rId254"/>
    <hyperlink xmlns:r="http://schemas.openxmlformats.org/officeDocument/2006/relationships" ref="A1360" r:id="rId255"/>
    <hyperlink xmlns:r="http://schemas.openxmlformats.org/officeDocument/2006/relationships" ref="D1360" r:id="rId256"/>
    <hyperlink xmlns:r="http://schemas.openxmlformats.org/officeDocument/2006/relationships" ref="A1366" r:id="rId257"/>
    <hyperlink xmlns:r="http://schemas.openxmlformats.org/officeDocument/2006/relationships" ref="D1366" r:id="rId258"/>
    <hyperlink xmlns:r="http://schemas.openxmlformats.org/officeDocument/2006/relationships" ref="A1373" r:id="rId259"/>
    <hyperlink xmlns:r="http://schemas.openxmlformats.org/officeDocument/2006/relationships" ref="D1373" r:id="rId260"/>
    <hyperlink xmlns:r="http://schemas.openxmlformats.org/officeDocument/2006/relationships" ref="A1380" r:id="rId261"/>
    <hyperlink xmlns:r="http://schemas.openxmlformats.org/officeDocument/2006/relationships" ref="D1380" r:id="rId262"/>
    <hyperlink xmlns:r="http://schemas.openxmlformats.org/officeDocument/2006/relationships" ref="A1386" r:id="rId263"/>
    <hyperlink xmlns:r="http://schemas.openxmlformats.org/officeDocument/2006/relationships" ref="D1386" r:id="rId264"/>
    <hyperlink xmlns:r="http://schemas.openxmlformats.org/officeDocument/2006/relationships" ref="A1392" r:id="rId265"/>
    <hyperlink xmlns:r="http://schemas.openxmlformats.org/officeDocument/2006/relationships" ref="D1392" r:id="rId266"/>
    <hyperlink xmlns:r="http://schemas.openxmlformats.org/officeDocument/2006/relationships" ref="A1409" r:id="rId267"/>
    <hyperlink xmlns:r="http://schemas.openxmlformats.org/officeDocument/2006/relationships" ref="D1409" r:id="rId268"/>
    <hyperlink xmlns:r="http://schemas.openxmlformats.org/officeDocument/2006/relationships" ref="A1418" r:id="rId269"/>
    <hyperlink xmlns:r="http://schemas.openxmlformats.org/officeDocument/2006/relationships" ref="D1418" r:id="rId270"/>
    <hyperlink xmlns:r="http://schemas.openxmlformats.org/officeDocument/2006/relationships" ref="A1429" r:id="rId271"/>
    <hyperlink xmlns:r="http://schemas.openxmlformats.org/officeDocument/2006/relationships" ref="D1429" r:id="rId272"/>
    <hyperlink xmlns:r="http://schemas.openxmlformats.org/officeDocument/2006/relationships" ref="A1439" r:id="rId273"/>
    <hyperlink xmlns:r="http://schemas.openxmlformats.org/officeDocument/2006/relationships" ref="D1439" r:id="rId274"/>
    <hyperlink xmlns:r="http://schemas.openxmlformats.org/officeDocument/2006/relationships" ref="A1448" r:id="rId275"/>
    <hyperlink xmlns:r="http://schemas.openxmlformats.org/officeDocument/2006/relationships" ref="D1448" r:id="rId276"/>
    <hyperlink xmlns:r="http://schemas.openxmlformats.org/officeDocument/2006/relationships" ref="A1461" r:id="rId277"/>
    <hyperlink xmlns:r="http://schemas.openxmlformats.org/officeDocument/2006/relationships" ref="D1461" r:id="rId278"/>
    <hyperlink xmlns:r="http://schemas.openxmlformats.org/officeDocument/2006/relationships" ref="A1470" r:id="rId279"/>
    <hyperlink xmlns:r="http://schemas.openxmlformats.org/officeDocument/2006/relationships" ref="D1470" r:id="rId280"/>
    <hyperlink xmlns:r="http://schemas.openxmlformats.org/officeDocument/2006/relationships" ref="A1481" r:id="rId281"/>
    <hyperlink xmlns:r="http://schemas.openxmlformats.org/officeDocument/2006/relationships" ref="D1481" r:id="rId282"/>
    <hyperlink xmlns:r="http://schemas.openxmlformats.org/officeDocument/2006/relationships" ref="A1492" r:id="rId283"/>
    <hyperlink xmlns:r="http://schemas.openxmlformats.org/officeDocument/2006/relationships" ref="D1492" r:id="rId284"/>
    <hyperlink xmlns:r="http://schemas.openxmlformats.org/officeDocument/2006/relationships" ref="A1501" r:id="rId285"/>
    <hyperlink xmlns:r="http://schemas.openxmlformats.org/officeDocument/2006/relationships" ref="D1501" r:id="rId286"/>
    <hyperlink xmlns:r="http://schemas.openxmlformats.org/officeDocument/2006/relationships" ref="A1517" r:id="rId287"/>
    <hyperlink xmlns:r="http://schemas.openxmlformats.org/officeDocument/2006/relationships" ref="D1517" r:id="rId288"/>
    <hyperlink xmlns:r="http://schemas.openxmlformats.org/officeDocument/2006/relationships" ref="A1520" r:id="rId289"/>
    <hyperlink xmlns:r="http://schemas.openxmlformats.org/officeDocument/2006/relationships" ref="D1520" r:id="rId290"/>
    <hyperlink xmlns:r="http://schemas.openxmlformats.org/officeDocument/2006/relationships" ref="A1523" r:id="rId291"/>
    <hyperlink xmlns:r="http://schemas.openxmlformats.org/officeDocument/2006/relationships" ref="D1523" r:id="rId292"/>
    <hyperlink xmlns:r="http://schemas.openxmlformats.org/officeDocument/2006/relationships" ref="A1526" r:id="rId293"/>
    <hyperlink xmlns:r="http://schemas.openxmlformats.org/officeDocument/2006/relationships" ref="D1526" r:id="rId294"/>
    <hyperlink xmlns:r="http://schemas.openxmlformats.org/officeDocument/2006/relationships" ref="A1529" r:id="rId295"/>
    <hyperlink xmlns:r="http://schemas.openxmlformats.org/officeDocument/2006/relationships" ref="D1529" r:id="rId296"/>
    <hyperlink xmlns:r="http://schemas.openxmlformats.org/officeDocument/2006/relationships" ref="A1532" r:id="rId297"/>
    <hyperlink xmlns:r="http://schemas.openxmlformats.org/officeDocument/2006/relationships" ref="D1532" r:id="rId298"/>
    <hyperlink xmlns:r="http://schemas.openxmlformats.org/officeDocument/2006/relationships" ref="A1540" r:id="rId299"/>
    <hyperlink xmlns:r="http://schemas.openxmlformats.org/officeDocument/2006/relationships" ref="D1540" r:id="rId300"/>
    <hyperlink xmlns:r="http://schemas.openxmlformats.org/officeDocument/2006/relationships" ref="A1543" r:id="rId301"/>
    <hyperlink xmlns:r="http://schemas.openxmlformats.org/officeDocument/2006/relationships" ref="D1543" r:id="rId302"/>
    <hyperlink xmlns:r="http://schemas.openxmlformats.org/officeDocument/2006/relationships" ref="A1546" r:id="rId303"/>
    <hyperlink xmlns:r="http://schemas.openxmlformats.org/officeDocument/2006/relationships" ref="D1546" r:id="rId304"/>
    <hyperlink xmlns:r="http://schemas.openxmlformats.org/officeDocument/2006/relationships" ref="A1561" r:id="rId305"/>
    <hyperlink xmlns:r="http://schemas.openxmlformats.org/officeDocument/2006/relationships" ref="D1561" r:id="rId306"/>
    <hyperlink xmlns:r="http://schemas.openxmlformats.org/officeDocument/2006/relationships" ref="A1572" r:id="rId307"/>
    <hyperlink xmlns:r="http://schemas.openxmlformats.org/officeDocument/2006/relationships" ref="D1572" r:id="rId308"/>
    <hyperlink xmlns:r="http://schemas.openxmlformats.org/officeDocument/2006/relationships" ref="A1581" r:id="rId309"/>
    <hyperlink xmlns:r="http://schemas.openxmlformats.org/officeDocument/2006/relationships" ref="D1581" r:id="rId310"/>
    <hyperlink xmlns:r="http://schemas.openxmlformats.org/officeDocument/2006/relationships" ref="A1590" r:id="rId311"/>
    <hyperlink xmlns:r="http://schemas.openxmlformats.org/officeDocument/2006/relationships" ref="D1590" r:id="rId312"/>
    <hyperlink xmlns:r="http://schemas.openxmlformats.org/officeDocument/2006/relationships" ref="A1600" r:id="rId313"/>
    <hyperlink xmlns:r="http://schemas.openxmlformats.org/officeDocument/2006/relationships" ref="D1600" r:id="rId314"/>
    <hyperlink xmlns:r="http://schemas.openxmlformats.org/officeDocument/2006/relationships" ref="A1609" r:id="rId315"/>
    <hyperlink xmlns:r="http://schemas.openxmlformats.org/officeDocument/2006/relationships" ref="D1609" r:id="rId316"/>
    <hyperlink xmlns:r="http://schemas.openxmlformats.org/officeDocument/2006/relationships" ref="A1627" r:id="rId317"/>
    <hyperlink xmlns:r="http://schemas.openxmlformats.org/officeDocument/2006/relationships" ref="D1627" r:id="rId318"/>
    <hyperlink xmlns:r="http://schemas.openxmlformats.org/officeDocument/2006/relationships" ref="A1636" r:id="rId319"/>
    <hyperlink xmlns:r="http://schemas.openxmlformats.org/officeDocument/2006/relationships" ref="D1636" r:id="rId320"/>
    <hyperlink xmlns:r="http://schemas.openxmlformats.org/officeDocument/2006/relationships" ref="A1651" r:id="rId321"/>
    <hyperlink xmlns:r="http://schemas.openxmlformats.org/officeDocument/2006/relationships" ref="D1651" r:id="rId322"/>
    <hyperlink xmlns:r="http://schemas.openxmlformats.org/officeDocument/2006/relationships" ref="A1669" r:id="rId323"/>
    <hyperlink xmlns:r="http://schemas.openxmlformats.org/officeDocument/2006/relationships" ref="D1669" r:id="rId324"/>
    <hyperlink xmlns:r="http://schemas.openxmlformats.org/officeDocument/2006/relationships" ref="A1678" r:id="rId325"/>
    <hyperlink xmlns:r="http://schemas.openxmlformats.org/officeDocument/2006/relationships" ref="D1678" r:id="rId326"/>
    <hyperlink xmlns:r="http://schemas.openxmlformats.org/officeDocument/2006/relationships" ref="A1687" r:id="rId327"/>
    <hyperlink xmlns:r="http://schemas.openxmlformats.org/officeDocument/2006/relationships" ref="D1687" r:id="rId328"/>
    <hyperlink xmlns:r="http://schemas.openxmlformats.org/officeDocument/2006/relationships" ref="A1696" r:id="rId329"/>
    <hyperlink xmlns:r="http://schemas.openxmlformats.org/officeDocument/2006/relationships" ref="D1696" r:id="rId330"/>
    <hyperlink xmlns:r="http://schemas.openxmlformats.org/officeDocument/2006/relationships" ref="A1709" r:id="rId331"/>
    <hyperlink xmlns:r="http://schemas.openxmlformats.org/officeDocument/2006/relationships" ref="D1709" r:id="rId332"/>
    <hyperlink xmlns:r="http://schemas.openxmlformats.org/officeDocument/2006/relationships" ref="A1718" r:id="rId333"/>
    <hyperlink xmlns:r="http://schemas.openxmlformats.org/officeDocument/2006/relationships" ref="D1718" r:id="rId334"/>
    <hyperlink xmlns:r="http://schemas.openxmlformats.org/officeDocument/2006/relationships" ref="A1727" r:id="rId335"/>
    <hyperlink xmlns:r="http://schemas.openxmlformats.org/officeDocument/2006/relationships" ref="D1727" r:id="rId336"/>
    <hyperlink xmlns:r="http://schemas.openxmlformats.org/officeDocument/2006/relationships" ref="A1741" r:id="rId337"/>
    <hyperlink xmlns:r="http://schemas.openxmlformats.org/officeDocument/2006/relationships" ref="D1741" r:id="rId338"/>
    <hyperlink xmlns:r="http://schemas.openxmlformats.org/officeDocument/2006/relationships" ref="A1755" r:id="rId339"/>
    <hyperlink xmlns:r="http://schemas.openxmlformats.org/officeDocument/2006/relationships" ref="D1755" r:id="rId340"/>
    <hyperlink xmlns:r="http://schemas.openxmlformats.org/officeDocument/2006/relationships" ref="A1768" r:id="rId341"/>
    <hyperlink xmlns:r="http://schemas.openxmlformats.org/officeDocument/2006/relationships" ref="D1768" r:id="rId342"/>
    <hyperlink xmlns:r="http://schemas.openxmlformats.org/officeDocument/2006/relationships" ref="A1781" r:id="rId343"/>
    <hyperlink xmlns:r="http://schemas.openxmlformats.org/officeDocument/2006/relationships" ref="D1781" r:id="rId344"/>
    <hyperlink xmlns:r="http://schemas.openxmlformats.org/officeDocument/2006/relationships" ref="A1796" r:id="rId345"/>
    <hyperlink xmlns:r="http://schemas.openxmlformats.org/officeDocument/2006/relationships" ref="D1796" r:id="rId346"/>
    <hyperlink xmlns:r="http://schemas.openxmlformats.org/officeDocument/2006/relationships" ref="A1805" r:id="rId347"/>
    <hyperlink xmlns:r="http://schemas.openxmlformats.org/officeDocument/2006/relationships" ref="D1805" r:id="rId348"/>
    <hyperlink xmlns:r="http://schemas.openxmlformats.org/officeDocument/2006/relationships" ref="A1817" r:id="rId349"/>
    <hyperlink xmlns:r="http://schemas.openxmlformats.org/officeDocument/2006/relationships" ref="D1817" r:id="rId350"/>
    <hyperlink xmlns:r="http://schemas.openxmlformats.org/officeDocument/2006/relationships" ref="A1826" r:id="rId351"/>
    <hyperlink xmlns:r="http://schemas.openxmlformats.org/officeDocument/2006/relationships" ref="D1826" r:id="rId352"/>
    <hyperlink xmlns:r="http://schemas.openxmlformats.org/officeDocument/2006/relationships" ref="A1845" r:id="rId353"/>
    <hyperlink xmlns:r="http://schemas.openxmlformats.org/officeDocument/2006/relationships" ref="D1845" r:id="rId354"/>
    <hyperlink xmlns:r="http://schemas.openxmlformats.org/officeDocument/2006/relationships" ref="A1856" r:id="rId355"/>
    <hyperlink xmlns:r="http://schemas.openxmlformats.org/officeDocument/2006/relationships" ref="D1856" r:id="rId356"/>
    <hyperlink xmlns:r="http://schemas.openxmlformats.org/officeDocument/2006/relationships" ref="A1859" r:id="rId357"/>
    <hyperlink xmlns:r="http://schemas.openxmlformats.org/officeDocument/2006/relationships" ref="D1859" r:id="rId358"/>
    <hyperlink xmlns:r="http://schemas.openxmlformats.org/officeDocument/2006/relationships" ref="A1864" r:id="rId359"/>
    <hyperlink xmlns:r="http://schemas.openxmlformats.org/officeDocument/2006/relationships" ref="D1864" r:id="rId360"/>
    <hyperlink xmlns:r="http://schemas.openxmlformats.org/officeDocument/2006/relationships" ref="A1879" r:id="rId361"/>
    <hyperlink xmlns:r="http://schemas.openxmlformats.org/officeDocument/2006/relationships" ref="D1879" r:id="rId362"/>
    <hyperlink xmlns:r="http://schemas.openxmlformats.org/officeDocument/2006/relationships" ref="A1888" r:id="rId363"/>
    <hyperlink xmlns:r="http://schemas.openxmlformats.org/officeDocument/2006/relationships" ref="D1888" r:id="rId364"/>
    <hyperlink xmlns:r="http://schemas.openxmlformats.org/officeDocument/2006/relationships" ref="A1897" r:id="rId365"/>
    <hyperlink xmlns:r="http://schemas.openxmlformats.org/officeDocument/2006/relationships" ref="D1897" r:id="rId366"/>
    <hyperlink xmlns:r="http://schemas.openxmlformats.org/officeDocument/2006/relationships" ref="A1908" r:id="rId367"/>
    <hyperlink xmlns:r="http://schemas.openxmlformats.org/officeDocument/2006/relationships" ref="D1908" r:id="rId368"/>
    <hyperlink xmlns:r="http://schemas.openxmlformats.org/officeDocument/2006/relationships" ref="A1921" r:id="rId369"/>
    <hyperlink xmlns:r="http://schemas.openxmlformats.org/officeDocument/2006/relationships" ref="D1921" r:id="rId370"/>
    <hyperlink xmlns:r="http://schemas.openxmlformats.org/officeDocument/2006/relationships" ref="A1932" r:id="rId371"/>
    <hyperlink xmlns:r="http://schemas.openxmlformats.org/officeDocument/2006/relationships" ref="D1932" r:id="rId372"/>
    <hyperlink xmlns:r="http://schemas.openxmlformats.org/officeDocument/2006/relationships" ref="A1941" r:id="rId373"/>
    <hyperlink xmlns:r="http://schemas.openxmlformats.org/officeDocument/2006/relationships" ref="D1941" r:id="rId374"/>
    <hyperlink xmlns:r="http://schemas.openxmlformats.org/officeDocument/2006/relationships" ref="A1951" r:id="rId375"/>
    <hyperlink xmlns:r="http://schemas.openxmlformats.org/officeDocument/2006/relationships" ref="D1951" r:id="rId376"/>
    <hyperlink xmlns:r="http://schemas.openxmlformats.org/officeDocument/2006/relationships" ref="A1960" r:id="rId377"/>
    <hyperlink xmlns:r="http://schemas.openxmlformats.org/officeDocument/2006/relationships" ref="D1960" r:id="rId378"/>
    <hyperlink xmlns:r="http://schemas.openxmlformats.org/officeDocument/2006/relationships" ref="A1969" r:id="rId379"/>
    <hyperlink xmlns:r="http://schemas.openxmlformats.org/officeDocument/2006/relationships" ref="D1969" r:id="rId380"/>
    <hyperlink xmlns:r="http://schemas.openxmlformats.org/officeDocument/2006/relationships" ref="A1981" r:id="rId381"/>
    <hyperlink xmlns:r="http://schemas.openxmlformats.org/officeDocument/2006/relationships" ref="D1981" r:id="rId382"/>
    <hyperlink xmlns:r="http://schemas.openxmlformats.org/officeDocument/2006/relationships" ref="A1991" r:id="rId383"/>
    <hyperlink xmlns:r="http://schemas.openxmlformats.org/officeDocument/2006/relationships" ref="D1991" r:id="rId384"/>
    <hyperlink xmlns:r="http://schemas.openxmlformats.org/officeDocument/2006/relationships" ref="A2000" r:id="rId385"/>
    <hyperlink xmlns:r="http://schemas.openxmlformats.org/officeDocument/2006/relationships" ref="D2000" r:id="rId386"/>
    <hyperlink xmlns:r="http://schemas.openxmlformats.org/officeDocument/2006/relationships" ref="A2009" r:id="rId387"/>
    <hyperlink xmlns:r="http://schemas.openxmlformats.org/officeDocument/2006/relationships" ref="D2009" r:id="rId388"/>
    <hyperlink xmlns:r="http://schemas.openxmlformats.org/officeDocument/2006/relationships" ref="A2022" r:id="rId389"/>
    <hyperlink xmlns:r="http://schemas.openxmlformats.org/officeDocument/2006/relationships" ref="D2022" r:id="rId390"/>
    <hyperlink xmlns:r="http://schemas.openxmlformats.org/officeDocument/2006/relationships" ref="A2031" r:id="rId391"/>
    <hyperlink xmlns:r="http://schemas.openxmlformats.org/officeDocument/2006/relationships" ref="D2031" r:id="rId392"/>
    <hyperlink xmlns:r="http://schemas.openxmlformats.org/officeDocument/2006/relationships" ref="A2040" r:id="rId393"/>
    <hyperlink xmlns:r="http://schemas.openxmlformats.org/officeDocument/2006/relationships" ref="D2040" r:id="rId394"/>
    <hyperlink xmlns:r="http://schemas.openxmlformats.org/officeDocument/2006/relationships" ref="A2049" r:id="rId395"/>
    <hyperlink xmlns:r="http://schemas.openxmlformats.org/officeDocument/2006/relationships" ref="D2049" r:id="rId396"/>
    <hyperlink xmlns:r="http://schemas.openxmlformats.org/officeDocument/2006/relationships" ref="A2061" r:id="rId397"/>
    <hyperlink xmlns:r="http://schemas.openxmlformats.org/officeDocument/2006/relationships" ref="D2061" r:id="rId398"/>
    <hyperlink xmlns:r="http://schemas.openxmlformats.org/officeDocument/2006/relationships" ref="A2070" r:id="rId399"/>
    <hyperlink xmlns:r="http://schemas.openxmlformats.org/officeDocument/2006/relationships" ref="D2070" r:id="rId400"/>
    <hyperlink xmlns:r="http://schemas.openxmlformats.org/officeDocument/2006/relationships" ref="A2083" r:id="rId401"/>
    <hyperlink xmlns:r="http://schemas.openxmlformats.org/officeDocument/2006/relationships" ref="D2083" r:id="rId402"/>
    <hyperlink xmlns:r="http://schemas.openxmlformats.org/officeDocument/2006/relationships" ref="A2093" r:id="rId403"/>
    <hyperlink xmlns:r="http://schemas.openxmlformats.org/officeDocument/2006/relationships" ref="D2093" r:id="rId404"/>
    <hyperlink xmlns:r="http://schemas.openxmlformats.org/officeDocument/2006/relationships" ref="A2103" r:id="rId405"/>
    <hyperlink xmlns:r="http://schemas.openxmlformats.org/officeDocument/2006/relationships" ref="D2103" r:id="rId406"/>
    <hyperlink xmlns:r="http://schemas.openxmlformats.org/officeDocument/2006/relationships" ref="A2112" r:id="rId407"/>
    <hyperlink xmlns:r="http://schemas.openxmlformats.org/officeDocument/2006/relationships" ref="D2112" r:id="rId408"/>
    <hyperlink xmlns:r="http://schemas.openxmlformats.org/officeDocument/2006/relationships" ref="A2124" r:id="rId409"/>
    <hyperlink xmlns:r="http://schemas.openxmlformats.org/officeDocument/2006/relationships" ref="D2124" r:id="rId410"/>
    <hyperlink xmlns:r="http://schemas.openxmlformats.org/officeDocument/2006/relationships" ref="A2133" r:id="rId411"/>
    <hyperlink xmlns:r="http://schemas.openxmlformats.org/officeDocument/2006/relationships" ref="D2133" r:id="rId412"/>
    <hyperlink xmlns:r="http://schemas.openxmlformats.org/officeDocument/2006/relationships" ref="A2145" r:id="rId413"/>
    <hyperlink xmlns:r="http://schemas.openxmlformats.org/officeDocument/2006/relationships" ref="D2145" r:id="rId414"/>
    <hyperlink xmlns:r="http://schemas.openxmlformats.org/officeDocument/2006/relationships" ref="A2154" r:id="rId415"/>
    <hyperlink xmlns:r="http://schemas.openxmlformats.org/officeDocument/2006/relationships" ref="D2154" r:id="rId416"/>
    <hyperlink xmlns:r="http://schemas.openxmlformats.org/officeDocument/2006/relationships" ref="A2164" r:id="rId417"/>
    <hyperlink xmlns:r="http://schemas.openxmlformats.org/officeDocument/2006/relationships" ref="D2164" r:id="rId418"/>
    <hyperlink xmlns:r="http://schemas.openxmlformats.org/officeDocument/2006/relationships" ref="A2167" r:id="rId419"/>
    <hyperlink xmlns:r="http://schemas.openxmlformats.org/officeDocument/2006/relationships" ref="D2167" r:id="rId420"/>
    <hyperlink xmlns:r="http://schemas.openxmlformats.org/officeDocument/2006/relationships" ref="A2176" r:id="rId421"/>
    <hyperlink xmlns:r="http://schemas.openxmlformats.org/officeDocument/2006/relationships" ref="D2176" r:id="rId422"/>
    <hyperlink xmlns:r="http://schemas.openxmlformats.org/officeDocument/2006/relationships" ref="A2185" r:id="rId423"/>
    <hyperlink xmlns:r="http://schemas.openxmlformats.org/officeDocument/2006/relationships" ref="D2185" r:id="rId424"/>
    <hyperlink xmlns:r="http://schemas.openxmlformats.org/officeDocument/2006/relationships" ref="A2194" r:id="rId425"/>
    <hyperlink xmlns:r="http://schemas.openxmlformats.org/officeDocument/2006/relationships" ref="D2194" r:id="rId426"/>
    <hyperlink xmlns:r="http://schemas.openxmlformats.org/officeDocument/2006/relationships" ref="A2204" r:id="rId427"/>
    <hyperlink xmlns:r="http://schemas.openxmlformats.org/officeDocument/2006/relationships" ref="D2204" r:id="rId428"/>
    <hyperlink xmlns:r="http://schemas.openxmlformats.org/officeDocument/2006/relationships" ref="A2219" r:id="rId429"/>
    <hyperlink xmlns:r="http://schemas.openxmlformats.org/officeDocument/2006/relationships" ref="D2219" r:id="rId430"/>
    <hyperlink xmlns:r="http://schemas.openxmlformats.org/officeDocument/2006/relationships" ref="A2228" r:id="rId431"/>
    <hyperlink xmlns:r="http://schemas.openxmlformats.org/officeDocument/2006/relationships" ref="D2228" r:id="rId432"/>
    <hyperlink xmlns:r="http://schemas.openxmlformats.org/officeDocument/2006/relationships" ref="A2244" r:id="rId433"/>
    <hyperlink xmlns:r="http://schemas.openxmlformats.org/officeDocument/2006/relationships" ref="D2244" r:id="rId434"/>
    <hyperlink xmlns:r="http://schemas.openxmlformats.org/officeDocument/2006/relationships" ref="A2253" r:id="rId435"/>
    <hyperlink xmlns:r="http://schemas.openxmlformats.org/officeDocument/2006/relationships" ref="D2253" r:id="rId436"/>
    <hyperlink xmlns:r="http://schemas.openxmlformats.org/officeDocument/2006/relationships" ref="A2264" r:id="rId437"/>
    <hyperlink xmlns:r="http://schemas.openxmlformats.org/officeDocument/2006/relationships" ref="D2264" r:id="rId438"/>
    <hyperlink xmlns:r="http://schemas.openxmlformats.org/officeDocument/2006/relationships" ref="A2269" r:id="rId439"/>
    <hyperlink xmlns:r="http://schemas.openxmlformats.org/officeDocument/2006/relationships" ref="D2269" r:id="rId440"/>
    <hyperlink xmlns:r="http://schemas.openxmlformats.org/officeDocument/2006/relationships" ref="A2278" r:id="rId441"/>
    <hyperlink xmlns:r="http://schemas.openxmlformats.org/officeDocument/2006/relationships" ref="D2278" r:id="rId442"/>
    <hyperlink xmlns:r="http://schemas.openxmlformats.org/officeDocument/2006/relationships" ref="A2287" r:id="rId443"/>
    <hyperlink xmlns:r="http://schemas.openxmlformats.org/officeDocument/2006/relationships" ref="D2287" r:id="rId444"/>
    <hyperlink xmlns:r="http://schemas.openxmlformats.org/officeDocument/2006/relationships" ref="A2296" r:id="rId445"/>
    <hyperlink xmlns:r="http://schemas.openxmlformats.org/officeDocument/2006/relationships" ref="D2296" r:id="rId446"/>
    <hyperlink xmlns:r="http://schemas.openxmlformats.org/officeDocument/2006/relationships" ref="A2305" r:id="rId447"/>
    <hyperlink xmlns:r="http://schemas.openxmlformats.org/officeDocument/2006/relationships" ref="D2305" r:id="rId448"/>
    <hyperlink xmlns:r="http://schemas.openxmlformats.org/officeDocument/2006/relationships" ref="A2314" r:id="rId449"/>
    <hyperlink xmlns:r="http://schemas.openxmlformats.org/officeDocument/2006/relationships" ref="D2314" r:id="rId450"/>
    <hyperlink xmlns:r="http://schemas.openxmlformats.org/officeDocument/2006/relationships" ref="A2323" r:id="rId451"/>
    <hyperlink xmlns:r="http://schemas.openxmlformats.org/officeDocument/2006/relationships" ref="D2323" r:id="rId452"/>
    <hyperlink xmlns:r="http://schemas.openxmlformats.org/officeDocument/2006/relationships" ref="A2332" r:id="rId453"/>
    <hyperlink xmlns:r="http://schemas.openxmlformats.org/officeDocument/2006/relationships" ref="D2332" r:id="rId454"/>
    <hyperlink xmlns:r="http://schemas.openxmlformats.org/officeDocument/2006/relationships" ref="A2346" r:id="rId455"/>
    <hyperlink xmlns:r="http://schemas.openxmlformats.org/officeDocument/2006/relationships" ref="D2346" r:id="rId456"/>
    <hyperlink xmlns:r="http://schemas.openxmlformats.org/officeDocument/2006/relationships" ref="A2359" r:id="rId457"/>
    <hyperlink xmlns:r="http://schemas.openxmlformats.org/officeDocument/2006/relationships" ref="D2359" r:id="rId458"/>
    <hyperlink xmlns:r="http://schemas.openxmlformats.org/officeDocument/2006/relationships" ref="A2368" r:id="rId459"/>
    <hyperlink xmlns:r="http://schemas.openxmlformats.org/officeDocument/2006/relationships" ref="D2368" r:id="rId460"/>
    <hyperlink xmlns:r="http://schemas.openxmlformats.org/officeDocument/2006/relationships" ref="A2379" r:id="rId461"/>
    <hyperlink xmlns:r="http://schemas.openxmlformats.org/officeDocument/2006/relationships" ref="D2379" r:id="rId462"/>
    <hyperlink xmlns:r="http://schemas.openxmlformats.org/officeDocument/2006/relationships" ref="A2391" r:id="rId463"/>
    <hyperlink xmlns:r="http://schemas.openxmlformats.org/officeDocument/2006/relationships" ref="D2391" r:id="rId464"/>
    <hyperlink xmlns:r="http://schemas.openxmlformats.org/officeDocument/2006/relationships" ref="A2404" r:id="rId465"/>
    <hyperlink xmlns:r="http://schemas.openxmlformats.org/officeDocument/2006/relationships" ref="D2404" r:id="rId466"/>
    <hyperlink xmlns:r="http://schemas.openxmlformats.org/officeDocument/2006/relationships" ref="A2413" r:id="rId467"/>
    <hyperlink xmlns:r="http://schemas.openxmlformats.org/officeDocument/2006/relationships" ref="D2413" r:id="rId468"/>
    <hyperlink xmlns:r="http://schemas.openxmlformats.org/officeDocument/2006/relationships" ref="A2416" r:id="rId469"/>
    <hyperlink xmlns:r="http://schemas.openxmlformats.org/officeDocument/2006/relationships" ref="D2416" r:id="rId470"/>
    <hyperlink xmlns:r="http://schemas.openxmlformats.org/officeDocument/2006/relationships" ref="A2427" r:id="rId471"/>
    <hyperlink xmlns:r="http://schemas.openxmlformats.org/officeDocument/2006/relationships" ref="D2427" r:id="rId472"/>
    <hyperlink xmlns:r="http://schemas.openxmlformats.org/officeDocument/2006/relationships" ref="A2439" r:id="rId473"/>
    <hyperlink xmlns:r="http://schemas.openxmlformats.org/officeDocument/2006/relationships" ref="D2439" r:id="rId474"/>
    <hyperlink xmlns:r="http://schemas.openxmlformats.org/officeDocument/2006/relationships" ref="A2448" r:id="rId475"/>
    <hyperlink xmlns:r="http://schemas.openxmlformats.org/officeDocument/2006/relationships" ref="D2448" r:id="rId476"/>
    <hyperlink xmlns:r="http://schemas.openxmlformats.org/officeDocument/2006/relationships" ref="A2453" r:id="rId477"/>
    <hyperlink xmlns:r="http://schemas.openxmlformats.org/officeDocument/2006/relationships" ref="D2453" r:id="rId478"/>
    <hyperlink xmlns:r="http://schemas.openxmlformats.org/officeDocument/2006/relationships" ref="A2469" r:id="rId479"/>
    <hyperlink xmlns:r="http://schemas.openxmlformats.org/officeDocument/2006/relationships" ref="D2469" r:id="rId480"/>
    <hyperlink xmlns:r="http://schemas.openxmlformats.org/officeDocument/2006/relationships" ref="A2478" r:id="rId481"/>
    <hyperlink xmlns:r="http://schemas.openxmlformats.org/officeDocument/2006/relationships" ref="D2478" r:id="rId482"/>
    <hyperlink xmlns:r="http://schemas.openxmlformats.org/officeDocument/2006/relationships" ref="A2487" r:id="rId483"/>
    <hyperlink xmlns:r="http://schemas.openxmlformats.org/officeDocument/2006/relationships" ref="D2487" r:id="rId484"/>
    <hyperlink xmlns:r="http://schemas.openxmlformats.org/officeDocument/2006/relationships" ref="A2496" r:id="rId485"/>
    <hyperlink xmlns:r="http://schemas.openxmlformats.org/officeDocument/2006/relationships" ref="D2496" r:id="rId486"/>
    <hyperlink xmlns:r="http://schemas.openxmlformats.org/officeDocument/2006/relationships" ref="A2509" r:id="rId487"/>
    <hyperlink xmlns:r="http://schemas.openxmlformats.org/officeDocument/2006/relationships" ref="D2509" r:id="rId488"/>
    <hyperlink xmlns:r="http://schemas.openxmlformats.org/officeDocument/2006/relationships" ref="A2520" r:id="rId489"/>
    <hyperlink xmlns:r="http://schemas.openxmlformats.org/officeDocument/2006/relationships" ref="D2520" r:id="rId490"/>
    <hyperlink xmlns:r="http://schemas.openxmlformats.org/officeDocument/2006/relationships" ref="A2532" r:id="rId491"/>
    <hyperlink xmlns:r="http://schemas.openxmlformats.org/officeDocument/2006/relationships" ref="D2532" r:id="rId492"/>
    <hyperlink xmlns:r="http://schemas.openxmlformats.org/officeDocument/2006/relationships" ref="A2542" r:id="rId493"/>
    <hyperlink xmlns:r="http://schemas.openxmlformats.org/officeDocument/2006/relationships" ref="D2542" r:id="rId494"/>
    <hyperlink xmlns:r="http://schemas.openxmlformats.org/officeDocument/2006/relationships" ref="A2547" r:id="rId495"/>
    <hyperlink xmlns:r="http://schemas.openxmlformats.org/officeDocument/2006/relationships" ref="D2547" r:id="rId496"/>
    <hyperlink xmlns:r="http://schemas.openxmlformats.org/officeDocument/2006/relationships" ref="A2556" r:id="rId497"/>
    <hyperlink xmlns:r="http://schemas.openxmlformats.org/officeDocument/2006/relationships" ref="D2556" r:id="rId498"/>
    <hyperlink xmlns:r="http://schemas.openxmlformats.org/officeDocument/2006/relationships" ref="A2565" r:id="rId499"/>
    <hyperlink xmlns:r="http://schemas.openxmlformats.org/officeDocument/2006/relationships" ref="D2565" r:id="rId500"/>
    <hyperlink xmlns:r="http://schemas.openxmlformats.org/officeDocument/2006/relationships" ref="A2574" r:id="rId501"/>
    <hyperlink xmlns:r="http://schemas.openxmlformats.org/officeDocument/2006/relationships" ref="D2574" r:id="rId502"/>
    <hyperlink xmlns:r="http://schemas.openxmlformats.org/officeDocument/2006/relationships" ref="A2583" r:id="rId503"/>
    <hyperlink xmlns:r="http://schemas.openxmlformats.org/officeDocument/2006/relationships" ref="D2583" r:id="rId504"/>
    <hyperlink xmlns:r="http://schemas.openxmlformats.org/officeDocument/2006/relationships" ref="A2592" r:id="rId505"/>
    <hyperlink xmlns:r="http://schemas.openxmlformats.org/officeDocument/2006/relationships" ref="D2592" r:id="rId506"/>
    <hyperlink xmlns:r="http://schemas.openxmlformats.org/officeDocument/2006/relationships" ref="A2620" r:id="rId507"/>
    <hyperlink xmlns:r="http://schemas.openxmlformats.org/officeDocument/2006/relationships" ref="D2620" r:id="rId508"/>
    <hyperlink xmlns:r="http://schemas.openxmlformats.org/officeDocument/2006/relationships" ref="A2634" r:id="rId509"/>
    <hyperlink xmlns:r="http://schemas.openxmlformats.org/officeDocument/2006/relationships" ref="D2634" r:id="rId510"/>
    <hyperlink xmlns:r="http://schemas.openxmlformats.org/officeDocument/2006/relationships" ref="A2643" r:id="rId511"/>
    <hyperlink xmlns:r="http://schemas.openxmlformats.org/officeDocument/2006/relationships" ref="D2643" r:id="rId512"/>
    <hyperlink xmlns:r="http://schemas.openxmlformats.org/officeDocument/2006/relationships" ref="A2652" r:id="rId513"/>
    <hyperlink xmlns:r="http://schemas.openxmlformats.org/officeDocument/2006/relationships" ref="D2652" r:id="rId514"/>
    <hyperlink xmlns:r="http://schemas.openxmlformats.org/officeDocument/2006/relationships" ref="A2662" r:id="rId515"/>
    <hyperlink xmlns:r="http://schemas.openxmlformats.org/officeDocument/2006/relationships" ref="D2662" r:id="rId516"/>
    <hyperlink xmlns:r="http://schemas.openxmlformats.org/officeDocument/2006/relationships" ref="A2671" r:id="rId517"/>
    <hyperlink xmlns:r="http://schemas.openxmlformats.org/officeDocument/2006/relationships" ref="D2671" r:id="rId518"/>
    <hyperlink xmlns:r="http://schemas.openxmlformats.org/officeDocument/2006/relationships" ref="A2680" r:id="rId519"/>
    <hyperlink xmlns:r="http://schemas.openxmlformats.org/officeDocument/2006/relationships" ref="D2680" r:id="rId520"/>
    <hyperlink xmlns:r="http://schemas.openxmlformats.org/officeDocument/2006/relationships" ref="A2689" r:id="rId521"/>
    <hyperlink xmlns:r="http://schemas.openxmlformats.org/officeDocument/2006/relationships" ref="D2689" r:id="rId522"/>
    <hyperlink xmlns:r="http://schemas.openxmlformats.org/officeDocument/2006/relationships" ref="A2699" r:id="rId523"/>
    <hyperlink xmlns:r="http://schemas.openxmlformats.org/officeDocument/2006/relationships" ref="D2699" r:id="rId524"/>
    <hyperlink xmlns:r="http://schemas.openxmlformats.org/officeDocument/2006/relationships" ref="A2704" r:id="rId525"/>
    <hyperlink xmlns:r="http://schemas.openxmlformats.org/officeDocument/2006/relationships" ref="D2704" r:id="rId526"/>
    <hyperlink xmlns:r="http://schemas.openxmlformats.org/officeDocument/2006/relationships" ref="A2713" r:id="rId527"/>
    <hyperlink xmlns:r="http://schemas.openxmlformats.org/officeDocument/2006/relationships" ref="D2713" r:id="rId528"/>
    <hyperlink xmlns:r="http://schemas.openxmlformats.org/officeDocument/2006/relationships" ref="A2722" r:id="rId529"/>
    <hyperlink xmlns:r="http://schemas.openxmlformats.org/officeDocument/2006/relationships" ref="D2722" r:id="rId530"/>
    <hyperlink xmlns:r="http://schemas.openxmlformats.org/officeDocument/2006/relationships" ref="A2731" r:id="rId531"/>
    <hyperlink xmlns:r="http://schemas.openxmlformats.org/officeDocument/2006/relationships" ref="D2731" r:id="rId532"/>
    <hyperlink xmlns:r="http://schemas.openxmlformats.org/officeDocument/2006/relationships" ref="A2744" r:id="rId533"/>
    <hyperlink xmlns:r="http://schemas.openxmlformats.org/officeDocument/2006/relationships" ref="D2744" r:id="rId534"/>
    <hyperlink xmlns:r="http://schemas.openxmlformats.org/officeDocument/2006/relationships" ref="A2750" r:id="rId535"/>
    <hyperlink xmlns:r="http://schemas.openxmlformats.org/officeDocument/2006/relationships" ref="D2750" r:id="rId536"/>
    <hyperlink xmlns:r="http://schemas.openxmlformats.org/officeDocument/2006/relationships" ref="A2755" r:id="rId537"/>
    <hyperlink xmlns:r="http://schemas.openxmlformats.org/officeDocument/2006/relationships" ref="D2755" r:id="rId538"/>
    <hyperlink xmlns:r="http://schemas.openxmlformats.org/officeDocument/2006/relationships" ref="A2760" r:id="rId539"/>
    <hyperlink xmlns:r="http://schemas.openxmlformats.org/officeDocument/2006/relationships" ref="D2760" r:id="rId540"/>
    <hyperlink xmlns:r="http://schemas.openxmlformats.org/officeDocument/2006/relationships" ref="A2771" r:id="rId541"/>
    <hyperlink xmlns:r="http://schemas.openxmlformats.org/officeDocument/2006/relationships" ref="D2771" r:id="rId542"/>
    <hyperlink xmlns:r="http://schemas.openxmlformats.org/officeDocument/2006/relationships" ref="A2777" r:id="rId543"/>
    <hyperlink xmlns:r="http://schemas.openxmlformats.org/officeDocument/2006/relationships" ref="D2777" r:id="rId544"/>
    <hyperlink xmlns:r="http://schemas.openxmlformats.org/officeDocument/2006/relationships" ref="A2780" r:id="rId545"/>
    <hyperlink xmlns:r="http://schemas.openxmlformats.org/officeDocument/2006/relationships" ref="D2780" r:id="rId546"/>
    <hyperlink xmlns:r="http://schemas.openxmlformats.org/officeDocument/2006/relationships" ref="A2783" r:id="rId547"/>
    <hyperlink xmlns:r="http://schemas.openxmlformats.org/officeDocument/2006/relationships" ref="D2783" r:id="rId548"/>
    <hyperlink xmlns:r="http://schemas.openxmlformats.org/officeDocument/2006/relationships" ref="A2791" r:id="rId549"/>
    <hyperlink xmlns:r="http://schemas.openxmlformats.org/officeDocument/2006/relationships" ref="D2791" r:id="rId550"/>
    <hyperlink xmlns:r="http://schemas.openxmlformats.org/officeDocument/2006/relationships" ref="A2800" r:id="rId551"/>
    <hyperlink xmlns:r="http://schemas.openxmlformats.org/officeDocument/2006/relationships" ref="D2800" r:id="rId552"/>
    <hyperlink xmlns:r="http://schemas.openxmlformats.org/officeDocument/2006/relationships" ref="A2809" r:id="rId553"/>
    <hyperlink xmlns:r="http://schemas.openxmlformats.org/officeDocument/2006/relationships" ref="D2809" r:id="rId554"/>
    <hyperlink xmlns:r="http://schemas.openxmlformats.org/officeDocument/2006/relationships" ref="A2822" r:id="rId555"/>
    <hyperlink xmlns:r="http://schemas.openxmlformats.org/officeDocument/2006/relationships" ref="D2822" r:id="rId556"/>
    <hyperlink xmlns:r="http://schemas.openxmlformats.org/officeDocument/2006/relationships" ref="A2834" r:id="rId557"/>
    <hyperlink xmlns:r="http://schemas.openxmlformats.org/officeDocument/2006/relationships" ref="D2834" r:id="rId558"/>
    <hyperlink xmlns:r="http://schemas.openxmlformats.org/officeDocument/2006/relationships" ref="A2843" r:id="rId559"/>
    <hyperlink xmlns:r="http://schemas.openxmlformats.org/officeDocument/2006/relationships" ref="D2843" r:id="rId560"/>
    <hyperlink xmlns:r="http://schemas.openxmlformats.org/officeDocument/2006/relationships" ref="A2854" r:id="rId561"/>
    <hyperlink xmlns:r="http://schemas.openxmlformats.org/officeDocument/2006/relationships" ref="D2854" r:id="rId562"/>
    <hyperlink xmlns:r="http://schemas.openxmlformats.org/officeDocument/2006/relationships" ref="A2863" r:id="rId563"/>
    <hyperlink xmlns:r="http://schemas.openxmlformats.org/officeDocument/2006/relationships" ref="D2863" r:id="rId564"/>
    <hyperlink xmlns:r="http://schemas.openxmlformats.org/officeDocument/2006/relationships" ref="A2872" r:id="rId565"/>
    <hyperlink xmlns:r="http://schemas.openxmlformats.org/officeDocument/2006/relationships" ref="D2872" r:id="rId566"/>
    <hyperlink xmlns:r="http://schemas.openxmlformats.org/officeDocument/2006/relationships" ref="A2881" r:id="rId567"/>
    <hyperlink xmlns:r="http://schemas.openxmlformats.org/officeDocument/2006/relationships" ref="D2881" r:id="rId568"/>
    <hyperlink xmlns:r="http://schemas.openxmlformats.org/officeDocument/2006/relationships" ref="A2890" r:id="rId569"/>
    <hyperlink xmlns:r="http://schemas.openxmlformats.org/officeDocument/2006/relationships" ref="D2890" r:id="rId570"/>
    <hyperlink xmlns:r="http://schemas.openxmlformats.org/officeDocument/2006/relationships" ref="A2900" r:id="rId571"/>
    <hyperlink xmlns:r="http://schemas.openxmlformats.org/officeDocument/2006/relationships" ref="D2900" r:id="rId572"/>
    <hyperlink xmlns:r="http://schemas.openxmlformats.org/officeDocument/2006/relationships" ref="A2909" r:id="rId573"/>
    <hyperlink xmlns:r="http://schemas.openxmlformats.org/officeDocument/2006/relationships" ref="D2909" r:id="rId574"/>
    <hyperlink xmlns:r="http://schemas.openxmlformats.org/officeDocument/2006/relationships" ref="A2919" r:id="rId575"/>
    <hyperlink xmlns:r="http://schemas.openxmlformats.org/officeDocument/2006/relationships" ref="D2919" r:id="rId576"/>
    <hyperlink xmlns:r="http://schemas.openxmlformats.org/officeDocument/2006/relationships" ref="A2943" r:id="rId577"/>
    <hyperlink xmlns:r="http://schemas.openxmlformats.org/officeDocument/2006/relationships" ref="D2943" r:id="rId578"/>
    <hyperlink xmlns:r="http://schemas.openxmlformats.org/officeDocument/2006/relationships" ref="A2961" r:id="rId579"/>
    <hyperlink xmlns:r="http://schemas.openxmlformats.org/officeDocument/2006/relationships" ref="D2961" r:id="rId580"/>
    <hyperlink xmlns:r="http://schemas.openxmlformats.org/officeDocument/2006/relationships" ref="A2990" r:id="rId581"/>
    <hyperlink xmlns:r="http://schemas.openxmlformats.org/officeDocument/2006/relationships" ref="D2990" r:id="rId582"/>
    <hyperlink xmlns:r="http://schemas.openxmlformats.org/officeDocument/2006/relationships" ref="A3002" r:id="rId583"/>
    <hyperlink xmlns:r="http://schemas.openxmlformats.org/officeDocument/2006/relationships" ref="D3002" r:id="rId584"/>
    <hyperlink xmlns:r="http://schemas.openxmlformats.org/officeDocument/2006/relationships" ref="A3025" r:id="rId585"/>
    <hyperlink xmlns:r="http://schemas.openxmlformats.org/officeDocument/2006/relationships" ref="D3025" r:id="rId586"/>
    <hyperlink xmlns:r="http://schemas.openxmlformats.org/officeDocument/2006/relationships" ref="A3053" r:id="rId587"/>
    <hyperlink xmlns:r="http://schemas.openxmlformats.org/officeDocument/2006/relationships" ref="D3053" r:id="rId588"/>
    <hyperlink xmlns:r="http://schemas.openxmlformats.org/officeDocument/2006/relationships" ref="A3080" r:id="rId589"/>
    <hyperlink xmlns:r="http://schemas.openxmlformats.org/officeDocument/2006/relationships" ref="D3080" r:id="rId590"/>
    <hyperlink xmlns:r="http://schemas.openxmlformats.org/officeDocument/2006/relationships" ref="A3111" r:id="rId591"/>
    <hyperlink xmlns:r="http://schemas.openxmlformats.org/officeDocument/2006/relationships" ref="D3111" r:id="rId592"/>
    <hyperlink xmlns:r="http://schemas.openxmlformats.org/officeDocument/2006/relationships" ref="A3117" r:id="rId593"/>
    <hyperlink xmlns:r="http://schemas.openxmlformats.org/officeDocument/2006/relationships" ref="D3117" r:id="rId594"/>
    <hyperlink xmlns:r="http://schemas.openxmlformats.org/officeDocument/2006/relationships" ref="A3148" r:id="rId595"/>
    <hyperlink xmlns:r="http://schemas.openxmlformats.org/officeDocument/2006/relationships" ref="D3148" r:id="rId596"/>
    <hyperlink xmlns:r="http://schemas.openxmlformats.org/officeDocument/2006/relationships" ref="A3157" r:id="rId597"/>
    <hyperlink xmlns:r="http://schemas.openxmlformats.org/officeDocument/2006/relationships" ref="D3157" r:id="rId598"/>
    <hyperlink xmlns:r="http://schemas.openxmlformats.org/officeDocument/2006/relationships" ref="A3166" r:id="rId599"/>
    <hyperlink xmlns:r="http://schemas.openxmlformats.org/officeDocument/2006/relationships" ref="D3166" r:id="rId600"/>
    <hyperlink xmlns:r="http://schemas.openxmlformats.org/officeDocument/2006/relationships" ref="A3195" r:id="rId601"/>
    <hyperlink xmlns:r="http://schemas.openxmlformats.org/officeDocument/2006/relationships" ref="D3195" r:id="rId602"/>
    <hyperlink xmlns:r="http://schemas.openxmlformats.org/officeDocument/2006/relationships" ref="A3213" r:id="rId603"/>
    <hyperlink xmlns:r="http://schemas.openxmlformats.org/officeDocument/2006/relationships" ref="D3213" r:id="rId604"/>
    <hyperlink xmlns:r="http://schemas.openxmlformats.org/officeDocument/2006/relationships" ref="A3222" r:id="rId605"/>
    <hyperlink xmlns:r="http://schemas.openxmlformats.org/officeDocument/2006/relationships" ref="D3222" r:id="rId606"/>
    <hyperlink xmlns:r="http://schemas.openxmlformats.org/officeDocument/2006/relationships" ref="A3231" r:id="rId607"/>
    <hyperlink xmlns:r="http://schemas.openxmlformats.org/officeDocument/2006/relationships" ref="D3231" r:id="rId608"/>
    <hyperlink xmlns:r="http://schemas.openxmlformats.org/officeDocument/2006/relationships" ref="A3234" r:id="rId609"/>
    <hyperlink xmlns:r="http://schemas.openxmlformats.org/officeDocument/2006/relationships" ref="D3234" r:id="rId610"/>
    <hyperlink xmlns:r="http://schemas.openxmlformats.org/officeDocument/2006/relationships" ref="A3237" r:id="rId611"/>
    <hyperlink xmlns:r="http://schemas.openxmlformats.org/officeDocument/2006/relationships" ref="D3237" r:id="rId612"/>
    <hyperlink xmlns:r="http://schemas.openxmlformats.org/officeDocument/2006/relationships" ref="A3240" r:id="rId613"/>
    <hyperlink xmlns:r="http://schemas.openxmlformats.org/officeDocument/2006/relationships" ref="D3240" r:id="rId614"/>
    <hyperlink xmlns:r="http://schemas.openxmlformats.org/officeDocument/2006/relationships" ref="A3249" r:id="rId615"/>
    <hyperlink xmlns:r="http://schemas.openxmlformats.org/officeDocument/2006/relationships" ref="D3249" r:id="rId616"/>
    <hyperlink xmlns:r="http://schemas.openxmlformats.org/officeDocument/2006/relationships" ref="A3255" r:id="rId617"/>
    <hyperlink xmlns:r="http://schemas.openxmlformats.org/officeDocument/2006/relationships" ref="D3255" r:id="rId618"/>
    <hyperlink xmlns:r="http://schemas.openxmlformats.org/officeDocument/2006/relationships" ref="A3260" r:id="rId619"/>
    <hyperlink xmlns:r="http://schemas.openxmlformats.org/officeDocument/2006/relationships" ref="D3260" r:id="rId620"/>
    <hyperlink xmlns:r="http://schemas.openxmlformats.org/officeDocument/2006/relationships" ref="A3263" r:id="rId621"/>
    <hyperlink xmlns:r="http://schemas.openxmlformats.org/officeDocument/2006/relationships" ref="D3263" r:id="rId622"/>
    <hyperlink xmlns:r="http://schemas.openxmlformats.org/officeDocument/2006/relationships" ref="A3266" r:id="rId623"/>
    <hyperlink xmlns:r="http://schemas.openxmlformats.org/officeDocument/2006/relationships" ref="D3266" r:id="rId624"/>
    <hyperlink xmlns:r="http://schemas.openxmlformats.org/officeDocument/2006/relationships" ref="A3275" r:id="rId625"/>
    <hyperlink xmlns:r="http://schemas.openxmlformats.org/officeDocument/2006/relationships" ref="D3275" r:id="rId626"/>
    <hyperlink xmlns:r="http://schemas.openxmlformats.org/officeDocument/2006/relationships" ref="A3294" r:id="rId627"/>
    <hyperlink xmlns:r="http://schemas.openxmlformats.org/officeDocument/2006/relationships" ref="D3294" r:id="rId628"/>
    <hyperlink xmlns:r="http://schemas.openxmlformats.org/officeDocument/2006/relationships" ref="A3307" r:id="rId629"/>
    <hyperlink xmlns:r="http://schemas.openxmlformats.org/officeDocument/2006/relationships" ref="D3307" r:id="rId630"/>
    <hyperlink xmlns:r="http://schemas.openxmlformats.org/officeDocument/2006/relationships" ref="A3316" r:id="rId631"/>
    <hyperlink xmlns:r="http://schemas.openxmlformats.org/officeDocument/2006/relationships" ref="D3316" r:id="rId632"/>
    <hyperlink xmlns:r="http://schemas.openxmlformats.org/officeDocument/2006/relationships" ref="A3325" r:id="rId633"/>
    <hyperlink xmlns:r="http://schemas.openxmlformats.org/officeDocument/2006/relationships" ref="D3325" r:id="rId634"/>
    <hyperlink xmlns:r="http://schemas.openxmlformats.org/officeDocument/2006/relationships" ref="A3334" r:id="rId635"/>
    <hyperlink xmlns:r="http://schemas.openxmlformats.org/officeDocument/2006/relationships" ref="D3334" r:id="rId636"/>
    <hyperlink xmlns:r="http://schemas.openxmlformats.org/officeDocument/2006/relationships" ref="A3343" r:id="rId637"/>
    <hyperlink xmlns:r="http://schemas.openxmlformats.org/officeDocument/2006/relationships" ref="D3343" r:id="rId638"/>
    <hyperlink xmlns:r="http://schemas.openxmlformats.org/officeDocument/2006/relationships" ref="A3352" r:id="rId639"/>
    <hyperlink xmlns:r="http://schemas.openxmlformats.org/officeDocument/2006/relationships" ref="D3352" r:id="rId640"/>
    <hyperlink xmlns:r="http://schemas.openxmlformats.org/officeDocument/2006/relationships" ref="A3361" r:id="rId641"/>
    <hyperlink xmlns:r="http://schemas.openxmlformats.org/officeDocument/2006/relationships" ref="D3361" r:id="rId642"/>
    <hyperlink xmlns:r="http://schemas.openxmlformats.org/officeDocument/2006/relationships" ref="A3366" r:id="rId643"/>
    <hyperlink xmlns:r="http://schemas.openxmlformats.org/officeDocument/2006/relationships" ref="D3366" r:id="rId644"/>
    <hyperlink xmlns:r="http://schemas.openxmlformats.org/officeDocument/2006/relationships" ref="A3375" r:id="rId645"/>
    <hyperlink xmlns:r="http://schemas.openxmlformats.org/officeDocument/2006/relationships" ref="D3375" r:id="rId646"/>
    <hyperlink xmlns:r="http://schemas.openxmlformats.org/officeDocument/2006/relationships" ref="A3384" r:id="rId647"/>
    <hyperlink xmlns:r="http://schemas.openxmlformats.org/officeDocument/2006/relationships" ref="D3384" r:id="rId648"/>
    <hyperlink xmlns:r="http://schemas.openxmlformats.org/officeDocument/2006/relationships" ref="A3393" r:id="rId649"/>
    <hyperlink xmlns:r="http://schemas.openxmlformats.org/officeDocument/2006/relationships" ref="D3393" r:id="rId650"/>
    <hyperlink xmlns:r="http://schemas.openxmlformats.org/officeDocument/2006/relationships" ref="A3402" r:id="rId651"/>
    <hyperlink xmlns:r="http://schemas.openxmlformats.org/officeDocument/2006/relationships" ref="D3402" r:id="rId652"/>
    <hyperlink xmlns:r="http://schemas.openxmlformats.org/officeDocument/2006/relationships" ref="A3412" r:id="rId653"/>
    <hyperlink xmlns:r="http://schemas.openxmlformats.org/officeDocument/2006/relationships" ref="D3412" r:id="rId654"/>
    <hyperlink xmlns:r="http://schemas.openxmlformats.org/officeDocument/2006/relationships" ref="A3421" r:id="rId655"/>
    <hyperlink xmlns:r="http://schemas.openxmlformats.org/officeDocument/2006/relationships" ref="D3421" r:id="rId656"/>
    <hyperlink xmlns:r="http://schemas.openxmlformats.org/officeDocument/2006/relationships" ref="A3434" r:id="rId657"/>
    <hyperlink xmlns:r="http://schemas.openxmlformats.org/officeDocument/2006/relationships" ref="D3434" r:id="rId658"/>
    <hyperlink xmlns:r="http://schemas.openxmlformats.org/officeDocument/2006/relationships" ref="A3443" r:id="rId659"/>
    <hyperlink xmlns:r="http://schemas.openxmlformats.org/officeDocument/2006/relationships" ref="D3443" r:id="rId660"/>
    <hyperlink xmlns:r="http://schemas.openxmlformats.org/officeDocument/2006/relationships" ref="A3452" r:id="rId661"/>
    <hyperlink xmlns:r="http://schemas.openxmlformats.org/officeDocument/2006/relationships" ref="D3452" r:id="rId662"/>
    <hyperlink xmlns:r="http://schemas.openxmlformats.org/officeDocument/2006/relationships" ref="A3461" r:id="rId663"/>
    <hyperlink xmlns:r="http://schemas.openxmlformats.org/officeDocument/2006/relationships" ref="D3461" r:id="rId664"/>
  </hyperlink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665"/>
</worksheet>
</file>

<file path=xl/worksheets/sheet3.xml><?xml version="1.0" encoding="utf-8"?>
<worksheet xmlns="http://schemas.openxmlformats.org/spreadsheetml/2006/main">
  <sheetPr>
    <outlinePr summaryBelow="1" summaryRight="0"/>
    <pageSetUpPr fitToPage="1"/>
  </sheetPr>
  <dimension ref="A1:G22"/>
  <sheetViews>
    <sheetView showGridLines="0" zoomScale="85" workbookViewId="0">
      <pane ySplit="2" topLeftCell="A3" activePane="bottomLeft" state="frozen"/>
      <selection pane="bottomLeft" activeCell="A1" sqref="A1"/>
    </sheetView>
  </sheetViews>
  <sheetFormatPr baseColWidth="8" defaultRowHeight="15"/>
  <cols>
    <col width="25" customWidth="1" min="1" max="1"/>
    <col width="30" customWidth="1" min="2" max="2"/>
    <col width="30" customWidth="1" min="3" max="3"/>
    <col width="30" customWidth="1" min="4" max="4"/>
    <col width="30" customWidth="1" min="5" max="5"/>
    <col width="30" customWidth="1" min="6" max="6"/>
    <col width="28" customWidth="1" min="7" max="7"/>
  </cols>
  <sheetData>
    <row r="1" ht="52" customHeight="1">
      <c r="A1" s="1" t="inlineStr">
        <is>
          <t>ИНСТРУКЦИЯ</t>
        </is>
      </c>
      <c r="B1" s="2" t="n"/>
      <c r="C1" s="2" t="n"/>
      <c r="D1" s="2" t="n"/>
      <c r="E1" s="2" t="n"/>
      <c r="F1" s="2" t="n"/>
    </row>
    <row r="2" ht="6" customHeight="1">
      <c r="A2" s="11" t="n"/>
      <c r="B2" s="11" t="n"/>
      <c r="C2" s="11" t="n"/>
      <c r="D2" s="11" t="n"/>
      <c r="E2" s="12" t="n"/>
      <c r="F2" s="12" t="n"/>
      <c r="G2" s="12" t="n"/>
    </row>
    <row r="3" ht="27" customHeight="1">
      <c r="A3" s="27" t="inlineStr">
        <is>
          <t>1 · Сохраните свою копию</t>
        </is>
      </c>
      <c r="B3" s="19" t="n"/>
      <c r="C3" s="19" t="n"/>
      <c r="D3" s="19" t="n"/>
      <c r="E3" s="19" t="n"/>
      <c r="F3" s="19" t="n"/>
      <c r="G3" s="19" t="n"/>
    </row>
    <row r="4" ht="42" customHeight="1">
      <c r="A4" s="22" t="inlineStr">
        <is>
          <t>Откройте файл в Excel или LibreOffice Calc. Предварительный просмотр в чате может не поддерживать редактирование.</t>
        </is>
      </c>
      <c r="B4" s="2" t="n"/>
      <c r="C4" s="2" t="n"/>
      <c r="D4" s="2" t="n"/>
      <c r="E4" s="2" t="n"/>
      <c r="F4" s="2" t="n"/>
      <c r="G4" s="2" t="n"/>
    </row>
    <row r="6" ht="27" customHeight="1">
      <c r="A6" s="27" t="inlineStr">
        <is>
          <t>2 · Представьтесь</t>
        </is>
      </c>
      <c r="B6" s="19" t="n"/>
      <c r="C6" s="19" t="n"/>
      <c r="D6" s="19" t="n"/>
      <c r="E6" s="19" t="n"/>
      <c r="F6" s="19" t="n"/>
      <c r="G6" s="19" t="n"/>
    </row>
    <row r="7" ht="42" customHeight="1">
      <c r="A7" s="22" t="inlineStr">
        <is>
          <t>Укажите ФИО полностью. Дату можно не заполнять.</t>
        </is>
      </c>
      <c r="B7" s="2" t="n"/>
      <c r="C7" s="2" t="n"/>
      <c r="D7" s="2" t="n"/>
      <c r="E7" s="2" t="n"/>
      <c r="F7" s="2" t="n"/>
      <c r="G7" s="2" t="n"/>
    </row>
    <row r="9" ht="27" customHeight="1">
      <c r="A9" s="27" t="inlineStr">
        <is>
          <t>3 · Посмотрите содержание</t>
        </is>
      </c>
      <c r="B9" s="19" t="n"/>
      <c r="C9" s="19" t="n"/>
      <c r="D9" s="19" t="n"/>
      <c r="E9" s="19" t="n"/>
      <c r="F9" s="19" t="n"/>
      <c r="G9" s="19" t="n"/>
    </row>
    <row r="10" ht="42" customHeight="1">
      <c r="A10" s="22" t="inlineStr">
        <is>
          <t>Нажмите «Открыть →» напротив темы. Если тема встречается в нескольких программах, изучите соответствующие варианты. Интернет для содержания не нужен.</t>
        </is>
      </c>
      <c r="B10" s="2" t="n"/>
      <c r="C10" s="2" t="n"/>
      <c r="D10" s="2" t="n"/>
      <c r="E10" s="2" t="n"/>
      <c r="F10" s="2" t="n"/>
      <c r="G10" s="2" t="n"/>
    </row>
    <row r="12" ht="27" customHeight="1">
      <c r="A12" s="27" t="inlineStr">
        <is>
          <t>4 · Отметьте готовность</t>
        </is>
      </c>
      <c r="B12" s="19" t="n"/>
      <c r="C12" s="19" t="n"/>
      <c r="D12" s="19" t="n"/>
      <c r="E12" s="19" t="n"/>
      <c r="F12" s="19" t="n"/>
      <c r="G12" s="19" t="n"/>
    </row>
    <row r="13" ht="42" customHeight="1">
      <c r="A13" s="22" t="inlineStr">
        <is>
          <t>«Да» — готовы читать тему в приведённом объёме. «Частично» — есть ограничения по содержанию или программе: поясните их в комментарии. Пустая отметка означает «не указано», а не отказ.</t>
        </is>
      </c>
      <c r="B13" s="2" t="n"/>
      <c r="C13" s="2" t="n"/>
      <c r="D13" s="2" t="n"/>
      <c r="E13" s="2" t="n"/>
      <c r="F13" s="2" t="n"/>
      <c r="G13" s="2" t="n"/>
    </row>
    <row r="15" ht="27" customHeight="1">
      <c r="A15" s="27" t="inlineStr">
        <is>
          <t>5 · Завершите и отправьте</t>
        </is>
      </c>
      <c r="B15" s="19" t="n"/>
      <c r="C15" s="19" t="n"/>
      <c r="D15" s="19" t="n"/>
      <c r="E15" s="19" t="n"/>
      <c r="F15" s="19" t="n"/>
      <c r="G15" s="19" t="n"/>
    </row>
    <row r="16" ht="42" customHeight="1">
      <c r="A16" s="22" t="inlineStr">
        <is>
          <t>Выберите «Выбор завершён», сохраните свою копию как «Анкета_Фамилия.xlsx» и отправьте организатору лично. В общий чат предназначен только пустой шаблон.</t>
        </is>
      </c>
      <c r="B16" s="2" t="n"/>
      <c r="C16" s="2" t="n"/>
      <c r="D16" s="2" t="n"/>
      <c r="E16" s="2" t="n"/>
      <c r="F16" s="2" t="n"/>
      <c r="G16" s="2" t="n"/>
    </row>
    <row r="18" ht="27" customHeight="1">
      <c r="A18" s="27" t="inlineStr">
        <is>
          <t>Что находится в каталоге</t>
        </is>
      </c>
      <c r="B18" s="19" t="n"/>
      <c r="C18" s="19" t="n"/>
      <c r="D18" s="19" t="n"/>
      <c r="E18" s="19" t="n"/>
      <c r="F18" s="19" t="n"/>
      <c r="G18" s="19" t="n"/>
    </row>
    <row r="19" ht="42" customHeight="1">
      <c r="A19" s="22" t="inlineStr">
        <is>
          <t>Темы из программ и УТП. Повторяющиеся названия объединены; различия содержания сохранены по программам. Полные названия программ и ссылки на источники находятся в карточках тем.</t>
        </is>
      </c>
      <c r="B19" s="2" t="n"/>
      <c r="C19" s="2" t="n"/>
      <c r="D19" s="2" t="n"/>
      <c r="E19" s="2" t="n"/>
      <c r="F19" s="2" t="n"/>
      <c r="G19" s="2" t="n"/>
    </row>
    <row r="21" ht="27" customHeight="1">
      <c r="A21" s="27" t="inlineStr">
        <is>
          <t>Расхождения источников</t>
        </is>
      </c>
      <c r="B21" s="19" t="n"/>
      <c r="C21" s="19" t="n"/>
      <c r="D21" s="19" t="n"/>
      <c r="E21" s="19" t="n"/>
      <c r="F21" s="19" t="n"/>
      <c r="G21" s="19" t="n"/>
    </row>
    <row r="22" ht="42" customHeight="1">
      <c r="A22" s="22" t="inlineStr">
        <is>
          <t>Темы без отдельного описания и несовпадения программы с УТП помечены в карточках. В ПСАЭ часть тем входит в общий практикум. Подробности — в отчёте проверки источников у организатора.</t>
        </is>
      </c>
      <c r="B22" s="2" t="n"/>
      <c r="C22" s="2" t="n"/>
      <c r="D22" s="2" t="n"/>
      <c r="E22" s="2" t="n"/>
      <c r="F22" s="2" t="n"/>
      <c r="G22" s="2" t="n"/>
    </row>
  </sheetData>
  <mergeCells count="15">
    <mergeCell ref="A13:G13"/>
    <mergeCell ref="A9:G9"/>
    <mergeCell ref="A18:G18"/>
    <mergeCell ref="A3:G3"/>
    <mergeCell ref="A6:G6"/>
    <mergeCell ref="A1:F1"/>
    <mergeCell ref="A21:G21"/>
    <mergeCell ref="A12:G12"/>
    <mergeCell ref="A4:G4"/>
    <mergeCell ref="A22:G22"/>
    <mergeCell ref="A16:G16"/>
    <mergeCell ref="A15:G15"/>
    <mergeCell ref="A7:G7"/>
    <mergeCell ref="A19:G19"/>
    <mergeCell ref="A10:G10"/>
  </mergeCells>
  <pageMargins left="0.25" right="0.25" top="0.35" bottom="0.35" header="0.5" footer="0.5"/>
  <pageSetup orientation="landscape" paperSize="8" fitToHeight="0" fitToWidth="1"/>
  <headerFooter>
    <oddHeader/>
    <oddFooter>&amp;Crozum · &amp;P /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Rozum</dc:creator>
  <dc:title xmlns:dc="http://purl.org/dc/elements/1.1/">Каталог тем Rozum — анкета преподавателя</dc:title>
  <dcterms:created xmlns:dcterms="http://purl.org/dc/terms/" xmlns:xsi="http://www.w3.org/2001/XMLSchema-instance" xsi:type="dcterms:W3CDTF">2026-10-16T06:07:45Z</dcterms:created>
  <dcterms:modified xmlns:dcterms="http://purl.org/dc/terms/" xmlns:xsi="http://www.w3.org/2001/XMLSchema-instance" xsi:type="dcterms:W3CDTF">2026-10-16T06:07:48Z</dcterms:modified>
</cp:coreProperties>
</file>