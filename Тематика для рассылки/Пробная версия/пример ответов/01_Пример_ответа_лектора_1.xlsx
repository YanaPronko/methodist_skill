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бор тем" sheetId="1" state="visible" r:id="rId1"/>
    <sheet xmlns:r="http://schemas.openxmlformats.org/officeDocument/2006/relationships" name="Содержание тем" sheetId="2" state="visible" r:id="rId2"/>
    <sheet xmlns:r="http://schemas.openxmlformats.org/officeDocument/2006/relationships" name="Инструкция" sheetId="3" state="visible" r:id="rId3"/>
  </sheets>
  <definedNames>
    <definedName name="LecturerName">'Выбор тем'!$B$4</definedName>
    <definedName name="ResponseDate">'Выбор тем'!$F$4</definedName>
    <definedName name="SurveyVersion">'Выбор тем'!$B$5</definedName>
    <definedName name="CompletionState">'Выбор тем'!$F$5</definedName>
    <definedName name="_xlnm.Print_Titles" localSheetId="0">'Выбор тем'!$1:$10</definedName>
    <definedName name="_xlnm.Print_Area" localSheetId="0">'Выбор тем'!$A$1:$F$24</definedName>
    <definedName name="_xlnm.Print_Titles" localSheetId="1">'Содержание тем'!$1:$3</definedName>
    <definedName name="_xlnm.Print_Area" localSheetId="1">'Содержание тем'!$A$1:$F$88</definedName>
    <definedName name="_xlnm.Print_Area" localSheetId="2">'Инструкция'!$A$1:$F$28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9">
    <font>
      <name val="Calibri"/>
      <family val="2"/>
      <color theme="1"/>
      <sz val="11"/>
      <scheme val="minor"/>
    </font>
    <font>
      <name val="Calibri"/>
      <b val="1"/>
      <color rgb="00221F1F"/>
      <sz val="20"/>
    </font>
    <font>
      <name val="Calibri"/>
      <color rgb="00221F1F"/>
      <sz val="11"/>
    </font>
    <font>
      <name val="Calibri"/>
      <b val="1"/>
      <color rgb="00221F1F"/>
      <sz val="11"/>
    </font>
    <font>
      <name val="Calibri"/>
      <b val="1"/>
      <color rgb="00008685"/>
      <sz val="12"/>
    </font>
    <font>
      <name val="Calibri"/>
      <b val="1"/>
      <color rgb="00008685"/>
      <sz val="11"/>
      <u val="single"/>
    </font>
    <font>
      <name val="Calibri"/>
      <b val="1"/>
      <color rgb="00FFFFFF"/>
      <sz val="11"/>
    </font>
    <font>
      <name val="Calibri"/>
      <b val="1"/>
      <color rgb="00FFFFFF"/>
      <sz val="13"/>
    </font>
    <font>
      <name val="Calibri"/>
      <color rgb="00221F1F"/>
      <sz val="12"/>
    </font>
  </fonts>
  <fills count="10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0F8F4"/>
      </patternFill>
    </fill>
    <fill>
      <patternFill patternType="solid">
        <fgColor rgb="00E5F5EF"/>
      </patternFill>
    </fill>
    <fill>
      <patternFill patternType="solid">
        <fgColor rgb="00F2F5F3"/>
      </patternFill>
    </fill>
    <fill>
      <patternFill patternType="solid">
        <fgColor rgb="00221F1F"/>
      </patternFill>
    </fill>
    <fill>
      <patternFill patternType="solid">
        <fgColor rgb="0026BBA8"/>
      </patternFill>
    </fill>
    <fill>
      <patternFill patternType="solid">
        <fgColor rgb="0040B870"/>
      </patternFill>
    </fill>
    <fill>
      <patternFill patternType="solid">
        <fgColor rgb="00008685"/>
      </patternFill>
    </fill>
  </fills>
  <borders count="3">
    <border>
      <left/>
      <right/>
      <top/>
      <bottom/>
      <diagonal/>
    </border>
    <border>
      <bottom style="thin">
        <color rgb="0040B870"/>
      </bottom>
    </border>
    <border>
      <left/>
      <right/>
      <top/>
      <bottom style="thin">
        <color rgb="0040B87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vertical="center" wrapText="1" inden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 indent="1"/>
    </xf>
    <xf numFmtId="0" fontId="0" fillId="3" borderId="0" pivotButton="0" quotePrefix="0" xfId="0"/>
    <xf numFmtId="0" fontId="3" fillId="0" borderId="0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164" fontId="2" fillId="4" borderId="1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 indent="1"/>
    </xf>
    <xf numFmtId="0" fontId="0" fillId="4" borderId="0" pivotButton="0" quotePrefix="0" xfId="0"/>
    <xf numFmtId="0" fontId="2" fillId="5" borderId="0" applyAlignment="1" pivotButton="0" quotePrefix="0" xfId="0">
      <alignment vertical="center" wrapText="1" indent="1"/>
    </xf>
    <xf numFmtId="0" fontId="0" fillId="5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 wrapText="1"/>
    </xf>
    <xf numFmtId="0" fontId="0" fillId="7" borderId="0" pivotButton="0" quotePrefix="0" xfId="0"/>
    <xf numFmtId="0" fontId="0" fillId="8" borderId="0" pivotButton="0" quotePrefix="0" xfId="0"/>
    <xf numFmtId="0" fontId="6" fillId="6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5" fillId="3" borderId="0" applyAlignment="1" pivotButton="0" quotePrefix="0" xfId="0">
      <alignment vertical="center" wrapText="1"/>
    </xf>
    <xf numFmtId="0" fontId="7" fillId="9" borderId="0" applyAlignment="1" pivotButton="0" quotePrefix="0" xfId="0">
      <alignment vertical="center" wrapText="1" indent="1"/>
    </xf>
    <xf numFmtId="0" fontId="0" fillId="9" borderId="0" pivotButton="0" quotePrefix="0" xfId="0"/>
    <xf numFmtId="0" fontId="8" fillId="2" borderId="0" applyAlignment="1" pivotButton="0" quotePrefix="0" xfId="0">
      <alignment vertical="center" wrapText="1" indent="1"/>
    </xf>
    <xf numFmtId="0" fontId="6" fillId="9" borderId="0" applyAlignment="1" pivotButton="0" quotePrefix="0" xfId="0">
      <alignment vertical="center" wrapText="1" indent="1"/>
    </xf>
    <xf numFmtId="0" fontId="2" fillId="2" borderId="0" applyAlignment="1" pivotButton="0" quotePrefix="0" xfId="0">
      <alignment vertical="center" wrapText="1" indent="1"/>
    </xf>
    <xf numFmtId="0" fontId="0" fillId="0" borderId="2" pivotButton="0" quotePrefix="0" xfId="0"/>
  </cellXfs>
  <cellStyles count="1">
    <cellStyle name="Normal" xfId="0" builtinId="0" hidden="0"/>
  </cellStyles>
  <dxfs count="6">
    <dxf>
      <font>
        <name val="Calibri"/>
        <color rgb="00221F1F"/>
        <sz val="11"/>
      </font>
      <fill>
        <patternFill patternType="solid">
          <fgColor rgb="00FFFFFF"/>
        </patternFill>
      </fill>
    </dxf>
    <dxf>
      <font>
        <name val="Calibri"/>
        <b val="1"/>
        <color rgb="00FFFFFF"/>
        <sz val="11"/>
      </font>
      <fill>
        <patternFill patternType="solid">
          <fgColor rgb="00221F1F"/>
        </patternFill>
      </fill>
      <border>
        <bottom style="medium">
          <color rgb="0026BBA8"/>
        </bottom>
      </border>
    </dxf>
    <dxf>
      <fill>
        <patternFill patternType="solid">
          <fgColor rgb="00FFFFFF"/>
        </patternFill>
      </fill>
    </dxf>
    <dxf>
      <fill>
        <patternFill patternType="solid">
          <fgColor rgb="00F0F8F4"/>
        </patternFill>
      </fill>
    </dxf>
    <dxf>
      <fill>
        <patternFill patternType="solid">
          <fgColor rgb="00DDF2E5"/>
        </patternFill>
      </fill>
    </dxf>
    <dxf>
      <fill>
        <patternFill patternType="solid">
          <fgColor rgb="00C9EBDF"/>
        </patternFill>
      </fill>
    </dxf>
  </dxfs>
  <tableStyles count="1" defaultTableStyle="RozumTable" defaultPivotStyle="PivotStyleLight16">
    <tableStyle name="RozumTable" pivot="0" table="1">
      <tableStyleElement type="wholeTable" dxfId="0"/>
      <tableStyleElement type="headerRow" dxfId="1"/>
      <tableStyleElement type="firstRowStripe" size="1" dxfId="2"/>
      <tableStyleElement type="secondRowStripe" size="1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5</col>
      <colOff>57150</colOff>
      <row>0</row>
      <rowOff>142875</rowOff>
    </from>
    <ext cx="1619250" cy="333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57150</colOff>
      <row>0</row>
      <rowOff>142875</rowOff>
    </from>
    <ext cx="1619250" cy="333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5</col>
      <colOff>57150</colOff>
      <row>0</row>
      <rowOff>142875</rowOff>
    </from>
    <ext cx="1619250" cy="333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SurveyTopics" displayName="SurveyTopics" ref="A10:F22" headerRowCount="1">
  <autoFilter ref="A10:F22"/>
  <tableColumns count="6">
    <tableColumn id="1" name="Код темы"/>
    <tableColumn id="2" name="Тема"/>
    <tableColumn id="3" name="Программы"/>
    <tableColumn id="4" name="Содержание"/>
    <tableColumn id="5" name="Могу читать"/>
    <tableColumn id="6" name="Комментарий преподавателя"/>
  </tableColumns>
  <tableStyleInfo name="RozumTable" showRowStripes="0"/>
</table>
</file>

<file path=xl/theme/theme1.xml><?xml version="1.0" encoding="utf-8"?>
<ns0:theme xmlns:ns0="http://schemas.openxmlformats.org/drawingml/2006/main" name="Rozum">
  <ns0:themeElements>
    <ns0:clrScheme name="Rozum">
      <ns0:dk1>
        <ns0:srgbClr val="221F1F"/>
      </ns0:dk1>
      <ns0:lt1>
        <ns0:srgbClr val="FFFFFF"/>
      </ns0:lt1>
      <ns0:dk2>
        <ns0:srgbClr val="221F1F"/>
      </ns0:dk2>
      <ns0:lt2>
        <ns0:srgbClr val="F0F8F4"/>
      </ns0:lt2>
      <ns0:accent1>
        <ns0:srgbClr val="26BBA8"/>
      </ns0:accent1>
      <ns0:accent2>
        <ns0:srgbClr val="40B870"/>
      </ns0:accent2>
      <ns0:accent3>
        <ns0:srgbClr val="008685"/>
      </ns0:accent3>
      <ns0:accent4>
        <ns0:srgbClr val="009763"/>
      </ns0:accent4>
      <ns0:accent5>
        <ns0:srgbClr val="60756C"/>
      </ns0:accent5>
      <ns0:accent6>
        <ns0:srgbClr val="DDF2E5"/>
      </ns0:accent6>
      <ns0:hlink>
        <ns0:srgbClr val="008685"/>
      </ns0:hlink>
      <ns0:folHlink>
        <ns0:srgbClr val="009763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w="9525" cap="flat" cmpd="sng" algn="ctr">
          <ns0:solidFill>
            <ns0:schemeClr val="phClr">
              <ns0:shade val="95000"/>
              <ns0:satMod val="105000"/>
            </ns0:schemeClr>
          </ns0:solidFill>
          <ns0:prstDash val="solid"/>
        </ns0:ln>
        <ns0:ln w="25400" cap="flat" cmpd="sng" algn="ctr">
          <ns0:solidFill>
            <ns0:schemeClr val="phClr"/>
          </ns0:solidFill>
          <ns0:prstDash val="solid"/>
        </ns0:ln>
        <ns0:ln w="38100" cap="flat" cmpd="sng" algn="ctr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st="20000" dir="540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st="23000" dir="5400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st="23000" dir="5400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rig="threePt" dir="t">
              <ns0:rot lat="0" lon="0" rev="1200000"/>
            </ns0:lightRig>
          </ns0:scene3d>
          <ns0:sp3d>
            <ns0:bevelT w="63500" h="254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l="50000" t="-80000" r="50000" b="1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l="50000" t="50000" r="50000" b="50000"/>
          </ns0:path>
        </ns0:gradFill>
      </ns0:bgFillStyleLst>
    </ns0:fmtScheme>
  </ns0:themeElements>
  <ns0:objectDefaults/>
  <ns0:extraClrSchemeLst/>
</ns0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008685"/>
    <outlinePr summaryBelow="1" summaryRight="0"/>
    <pageSetUpPr fitToPage="1"/>
  </sheetPr>
  <dimension ref="A1:F24"/>
  <sheetViews>
    <sheetView showGridLines="0" zoomScale="85" workbookViewId="0">
      <pane xSplit="2" ySplit="10" topLeftCell="C11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66" customWidth="1" min="2" max="2"/>
    <col width="22" customWidth="1" min="3" max="3"/>
    <col width="18" customWidth="1" min="4" max="4"/>
    <col width="18" customWidth="1" min="5" max="5"/>
    <col width="42" customWidth="1" min="6" max="6"/>
  </cols>
  <sheetData>
    <row r="1" ht="52" customHeight="1">
      <c r="A1" s="1" t="inlineStr">
        <is>
          <t>КАКИЕ ТЕМЫ ВЫ ГОТОВЫ ЧИТАТЬ?</t>
        </is>
      </c>
    </row>
    <row r="2" ht="28" customHeight="1">
      <c r="A2" s="3" t="inlineStr">
        <is>
          <t>Пробная анкета · 12 тем · 1 программа · работает без интернета</t>
        </is>
      </c>
    </row>
    <row r="3" ht="29" customHeight="1">
      <c r="A3" s="3" t="inlineStr">
        <is>
          <t>Укажите ФИО → откройте содержание → выберите «Да» или «Частично» → сохраните свою копию.</t>
        </is>
      </c>
    </row>
    <row r="4" ht="30" customHeight="1">
      <c r="A4" s="5" t="inlineStr">
        <is>
          <t>Ваше ФИО</t>
        </is>
      </c>
      <c r="B4" s="6" t="inlineStr">
        <is>
          <t>Демо-лектор 1 (вымышленный)</t>
        </is>
      </c>
      <c r="C4" s="26" t="n"/>
      <c r="D4" s="26" t="n"/>
      <c r="E4" s="5" t="inlineStr">
        <is>
          <t>Дата анкеты</t>
        </is>
      </c>
      <c r="F4" s="7" t="n">
        <v>46310</v>
      </c>
    </row>
    <row r="5" ht="30" customHeight="1">
      <c r="A5" s="5" t="inlineStr">
        <is>
          <t>Версия</t>
        </is>
      </c>
      <c r="B5" t="inlineStr">
        <is>
          <t>DEMO-2026-10-v1</t>
        </is>
      </c>
      <c r="E5" s="5" t="inlineStr">
        <is>
          <t>Заполнение</t>
        </is>
      </c>
      <c r="F5" s="6" t="inlineStr">
        <is>
          <t>Выбор завершён</t>
        </is>
      </c>
    </row>
    <row r="6" ht="29" customHeight="1">
      <c r="A6" s="8" t="inlineStr">
        <is>
          <t>Светло-зелёные ячейки — для ваших ответов. Пустая отметка означает «не указано». При ответе «Частично» поясните ограничения.</t>
        </is>
      </c>
    </row>
    <row r="7" ht="29" customHeight="1">
      <c r="A7" s="10" t="inlineStr">
        <is>
          <t>ОБРАЗЕЦ: темы из локальной программы ПТИБ (advance), не из папок Google Drive. Для проверки формата; не полная рассылка.</t>
        </is>
      </c>
    </row>
    <row r="8">
      <c r="A8" t="inlineStr">
        <is>
          <t>Выбрано тем:</t>
        </is>
      </c>
      <c r="B8" s="12">
        <f>COUNTIF(E11:E22,"Да")+COUNTIF(E11:E22,"Частично")</f>
        <v/>
      </c>
      <c r="D8" s="13" t="inlineStr">
        <is>
          <t>Как заполнить →</t>
        </is>
      </c>
      <c r="F8" s="13" t="inlineStr">
        <is>
          <t>Все содержания →</t>
        </is>
      </c>
    </row>
    <row r="9" ht="6" customHeight="1">
      <c r="A9" s="14" t="n"/>
      <c r="B9" s="14" t="n"/>
      <c r="C9" s="14" t="n"/>
      <c r="D9" s="15" t="n"/>
      <c r="E9" s="15" t="n"/>
      <c r="F9" s="15" t="n"/>
    </row>
    <row r="10" ht="32" customHeight="1">
      <c r="A10" s="16" t="inlineStr">
        <is>
          <t>Код темы</t>
        </is>
      </c>
      <c r="B10" s="16" t="inlineStr">
        <is>
          <t>Тема</t>
        </is>
      </c>
      <c r="C10" s="16" t="inlineStr">
        <is>
          <t>Программы</t>
        </is>
      </c>
      <c r="D10" s="16" t="inlineStr">
        <is>
          <t>Содержание</t>
        </is>
      </c>
      <c r="E10" s="16" t="inlineStr">
        <is>
          <t>Могу читать</t>
        </is>
      </c>
      <c r="F10" s="16" t="inlineStr">
        <is>
          <t>Комментарий преподавателя</t>
        </is>
      </c>
    </row>
    <row r="11" ht="67" customHeight="1">
      <c r="A11" s="17" t="inlineStr">
        <is>
          <t>T-C7476F67</t>
        </is>
      </c>
      <c r="B11" s="17" t="inlineStr">
        <is>
          <t>Кибербезопасность, информационная безопасность, защита информации. Опыт противодействия киберпреступности (на примере Республики Беларусь и Российской Федерации)</t>
        </is>
      </c>
      <c r="C11" s="17" t="inlineStr">
        <is>
          <t>ПТИБ (advance)</t>
        </is>
      </c>
      <c r="D11" s="18" t="inlineStr">
        <is>
          <t>Открыть →</t>
        </is>
      </c>
      <c r="E11" s="6" t="inlineStr">
        <is>
          <t>Да</t>
        </is>
      </c>
      <c r="F11" s="6" t="inlineStr"/>
    </row>
    <row r="12" ht="60" customHeight="1">
      <c r="A12" s="19" t="inlineStr">
        <is>
          <t>T-AB58E916</t>
        </is>
      </c>
      <c r="B12" s="19" t="inlineStr">
        <is>
          <t>Типовая корпоративная информационная система</t>
        </is>
      </c>
      <c r="C12" s="19" t="inlineStr">
        <is>
          <t>ПТИБ (advance)</t>
        </is>
      </c>
      <c r="D12" s="20" t="inlineStr">
        <is>
          <t>Открыть →</t>
        </is>
      </c>
      <c r="E12" s="6" t="inlineStr"/>
      <c r="F12" s="6" t="inlineStr"/>
    </row>
    <row r="13" ht="60" customHeight="1">
      <c r="A13" s="17" t="inlineStr">
        <is>
          <t>T-6F75FEB6</t>
        </is>
      </c>
      <c r="B13" s="17" t="inlineStr">
        <is>
          <t>Продвинутые кибератаки. Матрица MITRE ATT&amp;CK. Модель Cyber Kill Chain. Индикаторы компрометации</t>
        </is>
      </c>
      <c r="C13" s="17" t="inlineStr">
        <is>
          <t>ПТИБ (advance)</t>
        </is>
      </c>
      <c r="D13" s="18" t="inlineStr">
        <is>
          <t>Открыть →</t>
        </is>
      </c>
      <c r="E13" s="6" t="inlineStr">
        <is>
          <t>Частично</t>
        </is>
      </c>
      <c r="F13" s="6" t="inlineStr">
        <is>
          <t>Готов читать часть про MITRE ATT&amp;CK; остальное нужно согласовать.</t>
        </is>
      </c>
    </row>
    <row r="14" ht="60" customHeight="1">
      <c r="A14" s="19" t="inlineStr">
        <is>
          <t>T-05085C3F</t>
        </is>
      </c>
      <c r="B14" s="19" t="inlineStr">
        <is>
          <t>Современный SOC</t>
        </is>
      </c>
      <c r="C14" s="19" t="inlineStr">
        <is>
          <t>ПТИБ (advance)</t>
        </is>
      </c>
      <c r="D14" s="20" t="inlineStr">
        <is>
          <t>Открыть →</t>
        </is>
      </c>
      <c r="E14" s="6" t="inlineStr">
        <is>
          <t>Да</t>
        </is>
      </c>
      <c r="F14" s="6" t="inlineStr"/>
    </row>
    <row r="15" ht="60" customHeight="1">
      <c r="A15" s="17" t="inlineStr">
        <is>
          <t>T-8A73AE5B</t>
        </is>
      </c>
      <c r="B15" s="17" t="inlineStr">
        <is>
          <t>Жизненный цикл информационной безопасности</t>
        </is>
      </c>
      <c r="C15" s="17" t="inlineStr">
        <is>
          <t>ПТИБ (advance)</t>
        </is>
      </c>
      <c r="D15" s="18" t="inlineStr">
        <is>
          <t>Открыть →</t>
        </is>
      </c>
      <c r="E15" s="6" t="inlineStr"/>
      <c r="F15" s="6" t="inlineStr"/>
    </row>
    <row r="16" ht="60" customHeight="1">
      <c r="A16" s="19" t="inlineStr">
        <is>
          <t>T-815E59FB</t>
        </is>
      </c>
      <c r="B16" s="19" t="inlineStr">
        <is>
          <t>Анализ журналов и популярных событий Windows</t>
        </is>
      </c>
      <c r="C16" s="19" t="inlineStr">
        <is>
          <t>ПТИБ (advance)</t>
        </is>
      </c>
      <c r="D16" s="20" t="inlineStr">
        <is>
          <t>Открыть →</t>
        </is>
      </c>
      <c r="E16" s="6" t="inlineStr"/>
      <c r="F16" s="6" t="inlineStr"/>
    </row>
    <row r="17" ht="60" customHeight="1">
      <c r="A17" s="17" t="inlineStr">
        <is>
          <t>T-E7421B02</t>
        </is>
      </c>
      <c r="B17" s="17" t="inlineStr">
        <is>
          <t>Домены Active Directory. Доменная групповая политика</t>
        </is>
      </c>
      <c r="C17" s="17" t="inlineStr">
        <is>
          <t>ПТИБ (advance)</t>
        </is>
      </c>
      <c r="D17" s="18" t="inlineStr">
        <is>
          <t>Открыть →</t>
        </is>
      </c>
      <c r="E17" s="6" t="inlineStr"/>
      <c r="F17" s="6" t="inlineStr"/>
    </row>
    <row r="18" ht="60" customHeight="1">
      <c r="A18" s="19" t="inlineStr">
        <is>
          <t>T-34BD901C</t>
        </is>
      </c>
      <c r="B18" s="19" t="inlineStr">
        <is>
          <t>Доменная аутентификация. Типовые атаки на протоколы аутентификации</t>
        </is>
      </c>
      <c r="C18" s="19" t="inlineStr">
        <is>
          <t>ПТИБ (advance)</t>
        </is>
      </c>
      <c r="D18" s="20" t="inlineStr">
        <is>
          <t>Открыть →</t>
        </is>
      </c>
      <c r="E18" s="6" t="inlineStr">
        <is>
          <t>Да</t>
        </is>
      </c>
      <c r="F18" s="6" t="inlineStr"/>
    </row>
    <row r="19" ht="60" customHeight="1">
      <c r="A19" s="17" t="inlineStr">
        <is>
          <t>T-2565E443</t>
        </is>
      </c>
      <c r="B19" s="17" t="inlineStr">
        <is>
          <t>Введение в LDAP</t>
        </is>
      </c>
      <c r="C19" s="17" t="inlineStr">
        <is>
          <t>ПТИБ (advance)</t>
        </is>
      </c>
      <c r="D19" s="18" t="inlineStr">
        <is>
          <t>Открыть →</t>
        </is>
      </c>
      <c r="E19" s="6" t="inlineStr"/>
      <c r="F19" s="6" t="inlineStr"/>
    </row>
    <row r="20" ht="60" customHeight="1">
      <c r="A20" s="19" t="inlineStr">
        <is>
          <t>T-2222062A</t>
        </is>
      </c>
      <c r="B20" s="19" t="inlineStr">
        <is>
          <t>Управление пользователями</t>
        </is>
      </c>
      <c r="C20" s="19" t="inlineStr">
        <is>
          <t>ПТИБ (advance)</t>
        </is>
      </c>
      <c r="D20" s="20" t="inlineStr">
        <is>
          <t>Открыть →</t>
        </is>
      </c>
      <c r="E20" s="6" t="inlineStr"/>
      <c r="F20" s="6" t="inlineStr"/>
    </row>
    <row r="21" ht="60" customHeight="1">
      <c r="A21" s="17" t="inlineStr">
        <is>
          <t>T-DF262806</t>
        </is>
      </c>
      <c r="B21" s="17" t="inlineStr">
        <is>
          <t>Расследование и реагирование на атаку в инфраструктуре</t>
        </is>
      </c>
      <c r="C21" s="17" t="inlineStr">
        <is>
          <t>ПТИБ (advance)</t>
        </is>
      </c>
      <c r="D21" s="18" t="inlineStr">
        <is>
          <t>Открыть →</t>
        </is>
      </c>
      <c r="E21" s="6" t="inlineStr"/>
      <c r="F21" s="6" t="inlineStr"/>
    </row>
    <row r="22" ht="67" customHeight="1">
      <c r="A22" s="19" t="inlineStr">
        <is>
          <t>T-1EBBC04E</t>
        </is>
      </c>
      <c r="B22" s="19" t="inlineStr">
        <is>
          <t>Отработка сценария «атака вируса-шифровальщика» на киберполигоне. Анализ результатов, обсуждение и разбор сценария</t>
        </is>
      </c>
      <c r="C22" s="19" t="inlineStr">
        <is>
          <t>ПТИБ (advance)</t>
        </is>
      </c>
      <c r="D22" s="20" t="inlineStr">
        <is>
          <t>Открыть →</t>
        </is>
      </c>
      <c r="E22" s="6" t="inlineStr"/>
      <c r="F22" s="6" t="inlineStr"/>
    </row>
    <row r="24" ht="31" customHeight="1">
      <c r="A24" s="3" t="inlineStr">
        <is>
          <t>Сохраните файл как «Анкета_Фамилия.xlsx» и отправьте организатору ЛИЧНО. Другие преподаватели ваши ответы не увидят.</t>
        </is>
      </c>
    </row>
  </sheetData>
  <mergeCells count="8">
    <mergeCell ref="A24:F24"/>
    <mergeCell ref="A2:F2"/>
    <mergeCell ref="B5:D5"/>
    <mergeCell ref="B4:D4"/>
    <mergeCell ref="A6:F6"/>
    <mergeCell ref="A1:E1"/>
    <mergeCell ref="A3:F3"/>
    <mergeCell ref="A7:F7"/>
  </mergeCells>
  <conditionalFormatting sqref="E11:E22">
    <cfRule type="expression" priority="1" dxfId="4">
      <formula>E11="Да"</formula>
    </cfRule>
  </conditionalFormatting>
  <conditionalFormatting sqref="F11:F22">
    <cfRule type="expression" priority="2" dxfId="5">
      <formula>AND(E11="Частично",F11="")</formula>
    </cfRule>
  </conditionalFormatting>
  <dataValidations count="2">
    <dataValidation sqref="E11:E22" showDropDown="0" showInputMessage="0" showErrorMessage="1" allowBlank="1" errorTitle="Выберите значение из списка" error="Допустимы «Да», «Частично» или пустая ячейка." type="list" errorStyle="stop">
      <formula1>"Да,Частично"</formula1>
    </dataValidation>
    <dataValidation sqref="F5" showDropDown="0" showInputMessage="0" showErrorMessage="1" allowBlank="0" type="list" errorStyle="stop">
      <formula1>"В процессе,Выбор завершён"</formula1>
    </dataValidation>
  </dataValidations>
  <hyperlinks>
    <hyperlink ref="D8" location="'Инструкция'!A1" display="Как заполнить →"/>
    <hyperlink ref="F8" location="'Содержание тем'!A1" display="Все содержания →"/>
    <hyperlink ref="D11" location="'Содержание тем'!A5" display="Открыть →"/>
    <hyperlink ref="D12" location="'Содержание тем'!A12" display="Открыть →"/>
    <hyperlink ref="D13" location="'Содержание тем'!A19" display="Открыть →"/>
    <hyperlink ref="D14" location="'Содержание тем'!A26" display="Открыть →"/>
    <hyperlink ref="D15" location="'Содержание тем'!A33" display="Открыть →"/>
    <hyperlink ref="D16" location="'Содержание тем'!A40" display="Открыть →"/>
    <hyperlink ref="D17" location="'Содержание тем'!A47" display="Открыть →"/>
    <hyperlink ref="D18" location="'Содержание тем'!A54" display="Открыть →"/>
    <hyperlink ref="D19" location="'Содержание тем'!A61" display="Открыть →"/>
    <hyperlink ref="D20" location="'Содержание тем'!A68" display="Открыть →"/>
    <hyperlink ref="D21" location="'Содержание тем'!A75" display="Открыть →"/>
    <hyperlink ref="D22" location="'Содержание тем'!A82" display="Открыть →"/>
  </hyperlinks>
  <pageMargins left="0.25" right="0.25" top="0.35" bottom="0.35" header="0.5" footer="0.5"/>
  <pageSetup orientation="landscape" paperSize="8" fitToHeight="1" fitToWidth="1"/>
  <headerFooter>
    <oddHeader/>
    <oddFooter>&amp;Crozum · Пробная версия · &amp;P /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tabColor rgb="00221F1F"/>
    <outlinePr summaryBelow="1" summaryRight="0"/>
    <pageSetUpPr fitToPage="1"/>
  </sheetPr>
  <dimension ref="A1:F87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29" customWidth="1" min="3" max="3"/>
    <col width="29" customWidth="1" min="4" max="4"/>
    <col width="29" customWidth="1" min="5" max="5"/>
    <col width="26" customWidth="1" min="6" max="6"/>
  </cols>
  <sheetData>
    <row r="1" ht="52" customHeight="1">
      <c r="A1" s="1" t="inlineStr">
        <is>
          <t>СОДЕРЖАНИЕ ТЕМ</t>
        </is>
      </c>
    </row>
    <row r="2" ht="28" customHeight="1">
      <c r="A2" s="3" t="inlineStr">
        <is>
          <t>Текст перенесён из программы-образца. Ниже каждая тема показана вместе с её контекстом.</t>
        </is>
      </c>
    </row>
    <row r="3" ht="24" customHeight="1">
      <c r="A3" s="13" t="inlineStr">
        <is>
          <t>← К выбору тем</t>
        </is>
      </c>
    </row>
    <row r="4" ht="6" customHeight="1">
      <c r="A4" s="14" t="n"/>
      <c r="B4" s="14" t="n"/>
      <c r="C4" s="14" t="n"/>
      <c r="D4" s="15" t="n"/>
      <c r="E4" s="15" t="n"/>
      <c r="F4" s="15" t="n"/>
    </row>
    <row r="5" ht="49" customHeight="1">
      <c r="A5" s="21" t="inlineStr">
        <is>
          <t>Кибербезопасность, информационная безопасность, защита информации. Опыт противодействия киберпреступности (на примере Республики Беларусь и Российской Федерации)</t>
        </is>
      </c>
    </row>
    <row r="6" ht="34" customHeight="1">
      <c r="A6" s="3" t="inlineStr">
        <is>
          <t>T-C7476F67 · РАЗДЕЛ I Методология расследования инцидентов. · Тема 1. Кибербезопасность, информационная безопасность, защита информации. Опыт противодействия киберпреступности (на примере Республики Беларусь и Российской Федерации) (1 час лекции).</t>
        </is>
      </c>
    </row>
    <row r="7" ht="38" customHeight="1">
      <c r="A7" s="3" t="inlineStr">
        <is>
          <t>Программа: ПРАКТИЧЕСКОЕ ПРИМЕНЕНИЕ ТЕХНОЛОГИЙ ИНФОРМАЦИОННОЙ БЕЗОПАСНОСТИ (+КИБЕРУЧЕНИЯ) (ADVANCE)</t>
        </is>
      </c>
    </row>
    <row r="8" ht="76" customHeight="1">
      <c r="A8" s="23" t="inlineStr">
        <is>
          <t>Киберпреступность. Международный опыт противодействия киберпреступности. Построение системы обеспечения кибербезопасности в Республике Беларусь и Российской Федерации.</t>
        </is>
      </c>
    </row>
    <row r="9" ht="28" customHeight="1">
      <c r="A9" s="3" t="inlineStr">
        <is>
          <t>Источник: sample-program-template.docx · РАЗДЕЛ I Методология расследования инцидентов. · Тема 1</t>
        </is>
      </c>
    </row>
    <row r="10" ht="25" customHeight="1">
      <c r="A10" s="13">
        <f>HYPERLINK("#'Выбор тем'!E"&amp;MATCH("T-C7476F67",'Выбор тем'!$A:$A,0),"← Отметить тему")</f>
        <v/>
      </c>
    </row>
    <row r="12" ht="49" customHeight="1">
      <c r="A12" s="21" t="inlineStr">
        <is>
          <t>Типовая корпоративная информационная система</t>
        </is>
      </c>
    </row>
    <row r="13" ht="34" customHeight="1">
      <c r="A13" s="3" t="inlineStr">
        <is>
          <t>T-AB58E916 · РАЗДЕЛ I Методология расследования инцидентов. · Тема 2. Типовая корпоративная информационная система (1 час лекции).</t>
        </is>
      </c>
    </row>
    <row r="14" ht="38" customHeight="1">
      <c r="A14" s="3" t="inlineStr">
        <is>
          <t>Программа: ПРАКТИЧЕСКОЕ ПРИМЕНЕНИЕ ТЕХНОЛОГИЙ ИНФОРМАЦИОННОЙ БЕЗОПАСНОСТИ (+КИБЕРУЧЕНИЯ) (ADVANCE)</t>
        </is>
      </c>
    </row>
    <row r="15" ht="76" customHeight="1">
      <c r="A15" s="23" t="inlineStr">
        <is>
          <t>Типовая корпоративная информационная система (далее – ИС), которая представляет собой комплекс программных и аппаратных средств, предназначенных для автоматизации бизнес-процессов в организации. Основные компоненты системы, структура, принципы построения и внедрения.</t>
        </is>
      </c>
    </row>
    <row r="16" ht="28" customHeight="1">
      <c r="A16" s="3" t="inlineStr">
        <is>
          <t>Источник: sample-program-template.docx · РАЗДЕЛ I Методология расследования инцидентов. · Тема 2</t>
        </is>
      </c>
    </row>
    <row r="17" ht="25" customHeight="1">
      <c r="A17" s="13">
        <f>HYPERLINK("#'Выбор тем'!E"&amp;MATCH("T-AB58E916",'Выбор тем'!$A:$A,0),"← Отметить тему")</f>
        <v/>
      </c>
    </row>
    <row r="19" ht="49" customHeight="1">
      <c r="A19" s="21" t="inlineStr">
        <is>
          <t>Продвинутые кибератаки. Матрица MITRE ATT&amp;CK. Модель Cyber Kill Chain. Индикаторы компрометации</t>
        </is>
      </c>
    </row>
    <row r="20" ht="34" customHeight="1">
      <c r="A20" s="3" t="inlineStr">
        <is>
          <t>T-6F75FEB6 · РАЗДЕЛ I Методология расследования инцидентов. · Тема 3. Продвинутые кибератаки. Матрица MITRE ATT&amp;CK. Модель Cyber Kill Chain. Индикаторы компрометации (2 часа лекции).</t>
        </is>
      </c>
    </row>
    <row r="21" ht="38" customHeight="1">
      <c r="A21" s="3" t="inlineStr">
        <is>
          <t>Программа: ПРАКТИЧЕСКОЕ ПРИМЕНЕНИЕ ТЕХНОЛОГИЙ ИНФОРМАЦИОННОЙ БЕЗОПАСНОСТИ (+КИБЕРУЧЕНИЯ) (ADVANCE)</t>
        </is>
      </c>
    </row>
    <row r="22" ht="76" customHeight="1">
      <c r="A22" s="23" t="inlineStr">
        <is>
          <t>Матрица MITRE ATT&amp;CK. Модель Cyber Kill Chain. Детектирование инцидентов. Работа с индикаторами компрометации.</t>
        </is>
      </c>
    </row>
    <row r="23" ht="28" customHeight="1">
      <c r="A23" s="3" t="inlineStr">
        <is>
          <t>Источник: sample-program-template.docx · РАЗДЕЛ I Методология расследования инцидентов. · Тема 3</t>
        </is>
      </c>
    </row>
    <row r="24" ht="25" customHeight="1">
      <c r="A24" s="13">
        <f>HYPERLINK("#'Выбор тем'!E"&amp;MATCH("T-6F75FEB6",'Выбор тем'!$A:$A,0),"← Отметить тему")</f>
        <v/>
      </c>
    </row>
    <row r="26" ht="49" customHeight="1">
      <c r="A26" s="21" t="inlineStr">
        <is>
          <t>Современный SOC</t>
        </is>
      </c>
    </row>
    <row r="27" ht="34" customHeight="1">
      <c r="A27" s="3" t="inlineStr">
        <is>
          <t>T-05085C3F · РАЗДЕЛ I Методология расследования инцидентов. · Тема 4. Современный SOC (1 час лекции).</t>
        </is>
      </c>
    </row>
    <row r="28" ht="38" customHeight="1">
      <c r="A28" s="3" t="inlineStr">
        <is>
          <t>Программа: ПРАКТИЧЕСКОЕ ПРИМЕНЕНИЕ ТЕХНОЛОГИЙ ИНФОРМАЦИОННОЙ БЕЗОПАСНОСТИ (+КИБЕРУЧЕНИЯ) (ADVANCE)</t>
        </is>
      </c>
    </row>
    <row r="29" ht="76" customHeight="1">
      <c r="A29" s="23" t="inlineStr">
        <is>
          <t>Эволюция SOC, триада (люди, процессы, технологии), уровни процессов, метрики, роли сотрудников (L1–L3, инженеры, архитектор, руководитель), RACI-матрица, технологии (SIEM, EDR/XDR, SOAR, TI), AI и Agentic SOC.</t>
        </is>
      </c>
    </row>
    <row r="30" ht="28" customHeight="1">
      <c r="A30" s="3" t="inlineStr">
        <is>
          <t>Источник: sample-program-template.docx · РАЗДЕЛ I Методология расследования инцидентов. · Тема 4</t>
        </is>
      </c>
    </row>
    <row r="31" ht="25" customHeight="1">
      <c r="A31" s="13">
        <f>HYPERLINK("#'Выбор тем'!E"&amp;MATCH("T-05085C3F",'Выбор тем'!$A:$A,0),"← Отметить тему")</f>
        <v/>
      </c>
    </row>
    <row r="33" ht="49" customHeight="1">
      <c r="A33" s="21" t="inlineStr">
        <is>
          <t>Жизненный цикл информационной безопасности</t>
        </is>
      </c>
    </row>
    <row r="34" ht="34" customHeight="1">
      <c r="A34" s="3" t="inlineStr">
        <is>
          <t>T-8A73AE5B · РАЗДЕЛ I Методология расследования инцидентов. · Тема 5. Жизненный цикл информационной безопасности (1 час лекции).</t>
        </is>
      </c>
    </row>
    <row r="35" ht="38" customHeight="1">
      <c r="A35" s="3" t="inlineStr">
        <is>
          <t>Программа: ПРАКТИЧЕСКОЕ ПРИМЕНЕНИЕ ТЕХНОЛОГИЙ ИНФОРМАЦИОННОЙ БЕЗОПАСНОСТИ (+КИБЕРУЧЕНИЯ) (ADVANCE)</t>
        </is>
      </c>
    </row>
    <row r="36" ht="76" customHeight="1">
      <c r="A36" s="23" t="inlineStr">
        <is>
          <t>Определения, связанные с информационной безопасностью (ИБ). Этапы жизненного цикла.</t>
        </is>
      </c>
    </row>
    <row r="37" ht="28" customHeight="1">
      <c r="A37" s="3" t="inlineStr">
        <is>
          <t>Источник: sample-program-template.docx · РАЗДЕЛ I Методология расследования инцидентов. · Тема 5</t>
        </is>
      </c>
    </row>
    <row r="38" ht="25" customHeight="1">
      <c r="A38" s="13">
        <f>HYPERLINK("#'Выбор тем'!E"&amp;MATCH("T-8A73AE5B",'Выбор тем'!$A:$A,0),"← Отметить тему")</f>
        <v/>
      </c>
    </row>
    <row r="40" ht="49" customHeight="1">
      <c r="A40" s="21" t="inlineStr">
        <is>
          <t>Анализ журналов и популярных событий Windows</t>
        </is>
      </c>
    </row>
    <row r="41" ht="34" customHeight="1">
      <c r="A41" s="3" t="inlineStr">
        <is>
          <t>T-815E59FB · РАЗДЕЛ I Методология расследования инцидентов. · Тема 7. Анализ журналов и популярных событий Windows (1 час практические занятия).</t>
        </is>
      </c>
    </row>
    <row r="42" ht="38" customHeight="1">
      <c r="A42" s="3" t="inlineStr">
        <is>
          <t>Программа: ПРАКТИЧЕСКОЕ ПРИМЕНЕНИЕ ТЕХНОЛОГИЙ ИНФОРМАЦИОННОЙ БЕЗОПАСНОСТИ (+КИБЕРУЧЕНИЯ) (ADVANCE)</t>
        </is>
      </c>
    </row>
    <row r="43" ht="76" customHeight="1">
      <c r="A43" s="23" t="inlineStr">
        <is>
          <t>Инструменты анализа журналов Windows: Event Viewer (фильтры, XML), EvtxECmd (парсинг), Timeline Explorer (просмотр CSV), Get-WinEvent и Wevtutil (консоль), Hayabusa (поиск угроз по Sigma-правилам).</t>
        </is>
      </c>
    </row>
    <row r="44" ht="28" customHeight="1">
      <c r="A44" s="3" t="inlineStr">
        <is>
          <t>Источник: sample-program-template.docx · РАЗДЕЛ I Методология расследования инцидентов. · Тема 7</t>
        </is>
      </c>
    </row>
    <row r="45" ht="25" customHeight="1">
      <c r="A45" s="13">
        <f>HYPERLINK("#'Выбор тем'!E"&amp;MATCH("T-815E59FB",'Выбор тем'!$A:$A,0),"← Отметить тему")</f>
        <v/>
      </c>
    </row>
    <row r="47" ht="49" customHeight="1">
      <c r="A47" s="21" t="inlineStr">
        <is>
          <t>Домены Active Directory. Доменная групповая политика</t>
        </is>
      </c>
    </row>
    <row r="48" ht="34" customHeight="1">
      <c r="A48" s="3" t="inlineStr">
        <is>
          <t>T-E7421B02 · РАЗДЕЛ II «Active Directory» в различных операционных системах. · Тема 1. Домены Active Directory. Доменная групповая политика (1 час лекции).</t>
        </is>
      </c>
    </row>
    <row r="49" ht="38" customHeight="1">
      <c r="A49" s="3" t="inlineStr">
        <is>
          <t>Программа: ПРАКТИЧЕСКОЕ ПРИМЕНЕНИЕ ТЕХНОЛОГИЙ ИНФОРМАЦИОННОЙ БЕЗОПАСНОСТИ (+КИБЕРУЧЕНИЯ) (ADVANCE)</t>
        </is>
      </c>
    </row>
    <row r="50" ht="76" customHeight="1">
      <c r="A50" s="23" t="inlineStr">
        <is>
          <t>Типовая корпоративная ИС. Основные компоненты ИС, структура, принципы построения и внедрения.
Концепция доменов в Active Directory (далее – AD). Основные принципы работы доменов, структура, роли контроллера домена.</t>
        </is>
      </c>
    </row>
    <row r="51" ht="28" customHeight="1">
      <c r="A51" s="3" t="inlineStr">
        <is>
          <t>Источник: sample-program-template.docx · РАЗДЕЛ II «Active Directory» в различных операционных системах. · Тема 1</t>
        </is>
      </c>
    </row>
    <row r="52" ht="25" customHeight="1">
      <c r="A52" s="13">
        <f>HYPERLINK("#'Выбор тем'!E"&amp;MATCH("T-E7421B02",'Выбор тем'!$A:$A,0),"← Отметить тему")</f>
        <v/>
      </c>
    </row>
    <row r="54" ht="49" customHeight="1">
      <c r="A54" s="21" t="inlineStr">
        <is>
          <t>Доменная аутентификация. Типовые атаки на протоколы аутентификации</t>
        </is>
      </c>
    </row>
    <row r="55" ht="34" customHeight="1">
      <c r="A55" s="3" t="inlineStr">
        <is>
          <t>T-34BD901C · РАЗДЕЛ II «Active Directory» в различных операционных системах. · Тема 2. Доменная аутентификация. Типовые атаки на протоколы аутентификации (2 часа лекции).</t>
        </is>
      </c>
    </row>
    <row r="56" ht="38" customHeight="1">
      <c r="A56" s="3" t="inlineStr">
        <is>
          <t>Программа: ПРАКТИЧЕСКОЕ ПРИМЕНЕНИЕ ТЕХНОЛОГИЙ ИНФОРМАЦИОННОЙ БЕЗОПАСНОСТИ (+КИБЕРУЧЕНИЯ) (ADVANCE)</t>
        </is>
      </c>
    </row>
    <row r="57" ht="76" customHeight="1">
      <c r="A57" s="23" t="inlineStr">
        <is>
          <t>Процесс аутентификации пользователей и компьютеров в домене Active Directory. Методы аутентификации, протоколы, используемые для передачи учетных данных, механизмы защиты от несанкционированного доступа.</t>
        </is>
      </c>
    </row>
    <row r="58" ht="28" customHeight="1">
      <c r="A58" s="3" t="inlineStr">
        <is>
          <t>Источник: sample-program-template.docx · РАЗДЕЛ II «Active Directory» в различных операционных системах. · Тема 2</t>
        </is>
      </c>
    </row>
    <row r="59" ht="25" customHeight="1">
      <c r="A59" s="13">
        <f>HYPERLINK("#'Выбор тем'!E"&amp;MATCH("T-34BD901C",'Выбор тем'!$A:$A,0),"← Отметить тему")</f>
        <v/>
      </c>
    </row>
    <row r="61" ht="49" customHeight="1">
      <c r="A61" s="21" t="inlineStr">
        <is>
          <t>Введение в LDAP</t>
        </is>
      </c>
    </row>
    <row r="62" ht="34" customHeight="1">
      <c r="A62" s="3" t="inlineStr">
        <is>
          <t>T-2565E443 · РАЗДЕЛ II «Active Directory» в различных операционных системах. · Тема 4. Введение в LDAP (1 час лекции).</t>
        </is>
      </c>
    </row>
    <row r="63" ht="38" customHeight="1">
      <c r="A63" s="3" t="inlineStr">
        <is>
          <t>Программа: ПРАКТИЧЕСКОЕ ПРИМЕНЕНИЕ ТЕХНОЛОГИЙ ИНФОРМАЦИОННОЙ БЕЗОПАСНОСТИ (+КИБЕРУЧЕНИЯ) (ADVANCE)</t>
        </is>
      </c>
    </row>
    <row r="64" ht="76" customHeight="1">
      <c r="A64" s="23" t="inlineStr">
        <is>
          <t>LDAP (Lightweight Directory Access Protocol): основные понятия и принципы работы LDAP.</t>
        </is>
      </c>
    </row>
    <row r="65" ht="28" customHeight="1">
      <c r="A65" s="3" t="inlineStr">
        <is>
          <t>Источник: sample-program-template.docx · РАЗДЕЛ II «Active Directory» в различных операционных системах. · Тема 4</t>
        </is>
      </c>
    </row>
    <row r="66" ht="25" customHeight="1">
      <c r="A66" s="13">
        <f>HYPERLINK("#'Выбор тем'!E"&amp;MATCH("T-2565E443",'Выбор тем'!$A:$A,0),"← Отметить тему")</f>
        <v/>
      </c>
    </row>
    <row r="68" ht="49" customHeight="1">
      <c r="A68" s="21" t="inlineStr">
        <is>
          <t>Управление пользователями</t>
        </is>
      </c>
    </row>
    <row r="69" ht="34" customHeight="1">
      <c r="A69" s="3" t="inlineStr">
        <is>
          <t>T-2222062A · РАЗДЕЛ II «Active Directory» в различных операционных системах. · Тема 6. Управление пользователями (1 час лекции).</t>
        </is>
      </c>
    </row>
    <row r="70" ht="38" customHeight="1">
      <c r="A70" s="3" t="inlineStr">
        <is>
          <t>Программа: ПРАКТИЧЕСКОЕ ПРИМЕНЕНИЕ ТЕХНОЛОГИЙ ИНФОРМАЦИОННОЙ БЕЗОПАСНОСТИ (+КИБЕРУЧЕНИЯ) (ADVANCE)</t>
        </is>
      </c>
    </row>
    <row r="71" ht="76" customHeight="1">
      <c r="A71" s="23" t="inlineStr">
        <is>
          <t>Создание, изменение, удаление пользователей. Ключевые объектные классы пользователей. Настройка атрибутов пользователей и групп. Использование LDIF для управления. Особенности кодирования в LDIF. Безопасность пользователей.</t>
        </is>
      </c>
    </row>
    <row r="72" ht="28" customHeight="1">
      <c r="A72" s="3" t="inlineStr">
        <is>
          <t>Источник: sample-program-template.docx · РАЗДЕЛ II «Active Directory» в различных операционных системах. · Тема 6</t>
        </is>
      </c>
    </row>
    <row r="73" ht="25" customHeight="1">
      <c r="A73" s="13">
        <f>HYPERLINK("#'Выбор тем'!E"&amp;MATCH("T-2222062A",'Выбор тем'!$A:$A,0),"← Отметить тему")</f>
        <v/>
      </c>
    </row>
    <row r="75" ht="49" customHeight="1">
      <c r="A75" s="21" t="inlineStr">
        <is>
          <t>Расследование и реагирование на атаку в инфраструктуре</t>
        </is>
      </c>
    </row>
    <row r="76" ht="34" customHeight="1">
      <c r="A76" s="3" t="inlineStr">
        <is>
          <t>T-DF262806 · РАЗДЕЛ II «Active Directory» в различных операционных системах. · Тема 11. Расследование и реагирование на атаку в инфраструктуре (4 часа практические занятия).</t>
        </is>
      </c>
    </row>
    <row r="77" ht="38" customHeight="1">
      <c r="A77" s="3" t="inlineStr">
        <is>
          <t>Программа: ПРАКТИЧЕСКОЕ ПРИМЕНЕНИЕ ТЕХНОЛОГИЙ ИНФОРМАЦИОННОЙ БЕЗОПАСНОСТИ (+КИБЕРУЧЕНИЯ) (ADVANCE)</t>
        </is>
      </c>
    </row>
    <row r="78" ht="76" customHeight="1">
      <c r="A78" s="23" t="inlineStr">
        <is>
          <t>Сбор и анализ артефактов инцидента на узлах и в сетевой инфраструктуре. Выявление вектора компрометации и определение последовательности действий нарушителя. Локализация инцидента, сдерживание распространения атаки и восстановление работоспособности сервисов. Отработка типового сценария расследования и реагирования на атаку.</t>
        </is>
      </c>
    </row>
    <row r="79" ht="28" customHeight="1">
      <c r="A79" s="3" t="inlineStr">
        <is>
          <t>Источник: sample-program-template.docx · РАЗДЕЛ II «Active Directory» в различных операционных системах. · Тема 11</t>
        </is>
      </c>
    </row>
    <row r="80" ht="25" customHeight="1">
      <c r="A80" s="13">
        <f>HYPERLINK("#'Выбор тем'!E"&amp;MATCH("T-DF262806",'Выбор тем'!$A:$A,0),"← Отметить тему")</f>
        <v/>
      </c>
    </row>
    <row r="82" ht="49" customHeight="1">
      <c r="A82" s="21" t="inlineStr">
        <is>
          <t>Отработка сценария «атака вируса-шифровальщика» на киберполигоне. Анализ результатов, обсуждение и разбор сценария</t>
        </is>
      </c>
    </row>
    <row r="83" ht="34" customHeight="1">
      <c r="A83" s="3" t="inlineStr">
        <is>
          <t>T-1EBBC04E · РАЗДЕЛ III Киберучения. · Тема 1. Отработка сценария «атака вируса-шифровальщика» на киберполигоне. Анализ результатов, обсуждение и разбор сценария (4 часа практические занятия, 2 часа самостоятельная работа) [2, 7].</t>
        </is>
      </c>
    </row>
    <row r="84" ht="38" customHeight="1">
      <c r="A84" s="3" t="inlineStr">
        <is>
          <t>Программа: ПРАКТИЧЕСКОЕ ПРИМЕНЕНИЕ ТЕХНОЛОГИЙ ИНФОРМАЦИОННОЙ БЕЗОПАСНОСТИ (+КИБЕРУЧЕНИЯ) (ADVANCE)</t>
        </is>
      </c>
    </row>
    <row r="85" ht="120" customHeight="1">
      <c r="A85" s="23" t="inlineStr">
        <is>
          <t>Расследования инцидента «атака вируса-шифровальщика» в инфраструктуре. Идентификация всех этапов атаки, определение всех индикаторов компрометации.
Сценарий самостоятельной работы:
анализ результатов выполнения сценария атаки вируса-шифровальщика на киберполигоне;
закрепление навыков оформления отчетных материалов по результатам расследования инцидента.</t>
        </is>
      </c>
    </row>
    <row r="86" ht="28" customHeight="1">
      <c r="A86" s="3" t="inlineStr">
        <is>
          <t>Источник: sample-program-template.docx · РАЗДЕЛ III Киберучения. · Тема 1</t>
        </is>
      </c>
    </row>
    <row r="87" ht="25" customHeight="1">
      <c r="A87" s="13">
        <f>HYPERLINK("#'Выбор тем'!E"&amp;MATCH("T-1EBBC04E",'Выбор тем'!$A:$A,0),"← Отметить тему")</f>
        <v/>
      </c>
    </row>
  </sheetData>
  <mergeCells count="74">
    <mergeCell ref="A41:F41"/>
    <mergeCell ref="A16:F16"/>
    <mergeCell ref="A54:F54"/>
    <mergeCell ref="A66:C66"/>
    <mergeCell ref="A84:F84"/>
    <mergeCell ref="A80:C80"/>
    <mergeCell ref="A37:F37"/>
    <mergeCell ref="A75:F75"/>
    <mergeCell ref="A27:F27"/>
    <mergeCell ref="A1:E1"/>
    <mergeCell ref="A12:F12"/>
    <mergeCell ref="A50:F50"/>
    <mergeCell ref="A56:F56"/>
    <mergeCell ref="A26:F26"/>
    <mergeCell ref="A21:F21"/>
    <mergeCell ref="A55:F55"/>
    <mergeCell ref="A86:F86"/>
    <mergeCell ref="A57:F57"/>
    <mergeCell ref="A2:F2"/>
    <mergeCell ref="A33:F33"/>
    <mergeCell ref="A71:F71"/>
    <mergeCell ref="A47:F47"/>
    <mergeCell ref="A42:F42"/>
    <mergeCell ref="A85:F85"/>
    <mergeCell ref="A76:F76"/>
    <mergeCell ref="A87:C87"/>
    <mergeCell ref="A14:F14"/>
    <mergeCell ref="A5:F5"/>
    <mergeCell ref="A23:F23"/>
    <mergeCell ref="A8:F8"/>
    <mergeCell ref="A17:C17"/>
    <mergeCell ref="A22:F22"/>
    <mergeCell ref="A35:F35"/>
    <mergeCell ref="A62:F62"/>
    <mergeCell ref="A20:F20"/>
    <mergeCell ref="A72:F72"/>
    <mergeCell ref="A29:F29"/>
    <mergeCell ref="A38:C38"/>
    <mergeCell ref="A43:F43"/>
    <mergeCell ref="A10:C10"/>
    <mergeCell ref="A52:C52"/>
    <mergeCell ref="A63:F63"/>
    <mergeCell ref="A28:F28"/>
    <mergeCell ref="A13:F13"/>
    <mergeCell ref="A19:F19"/>
    <mergeCell ref="A44:F44"/>
    <mergeCell ref="A68:F68"/>
    <mergeCell ref="A31:C31"/>
    <mergeCell ref="A9:F9"/>
    <mergeCell ref="A58:F58"/>
    <mergeCell ref="A34:F34"/>
    <mergeCell ref="A40:F40"/>
    <mergeCell ref="A83:F83"/>
    <mergeCell ref="A48:F48"/>
    <mergeCell ref="A30:F30"/>
    <mergeCell ref="A59:C59"/>
    <mergeCell ref="A77:F77"/>
    <mergeCell ref="A15:F15"/>
    <mergeCell ref="A24:C24"/>
    <mergeCell ref="A64:F64"/>
    <mergeCell ref="A73:C73"/>
    <mergeCell ref="A49:F49"/>
    <mergeCell ref="A51:F51"/>
    <mergeCell ref="A82:F82"/>
    <mergeCell ref="A36:F36"/>
    <mergeCell ref="A45:C45"/>
    <mergeCell ref="A70:F70"/>
    <mergeCell ref="A79:F79"/>
    <mergeCell ref="A61:F61"/>
    <mergeCell ref="A6:F6"/>
    <mergeCell ref="A78:F78"/>
    <mergeCell ref="A69:F69"/>
    <mergeCell ref="A7:F7"/>
    <mergeCell ref="A65:F65"/>
  </mergeCells>
  <hyperlinks>
    <hyperlink ref="A3" location="'Выбор тем'!A1" display="← К выбору тем"/>
  </hyperlinks>
  <pageMargins left="0.25" right="0.25" top="0.35" bottom="0.35" header="0.5" footer="0.5"/>
  <pageSetup orientation="landscape" paperSize="8" fitToHeight="0" fitToWidth="1"/>
  <headerFooter>
    <oddHeader/>
    <oddFooter>&amp;Crozum · Пробная версия · &amp;P / &amp;N</oddFooter>
    <evenHeader/>
    <evenFooter/>
    <firstHeader/>
    <firstFooter/>
  </headerFooter>
  <rowBreaks count="5" manualBreakCount="5">
    <brk id="18" min="0" max="16383" man="1"/>
    <brk id="32" min="0" max="16383" man="1"/>
    <brk id="46" min="0" max="16383" man="1"/>
    <brk id="60" min="0" max="16383" man="1"/>
    <brk id="74" min="0" max="16383" man="1"/>
  </row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60756C"/>
    <outlinePr summaryBelow="1" summaryRight="0"/>
    <pageSetUpPr fitToPage="1"/>
  </sheetPr>
  <dimension ref="A1:F28"/>
  <sheetViews>
    <sheetView showGridLines="0"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0" customWidth="1" min="4" max="4"/>
    <col width="30" customWidth="1" min="5" max="5"/>
    <col width="24" customWidth="1" min="6" max="6"/>
  </cols>
  <sheetData>
    <row r="1" ht="52" customHeight="1">
      <c r="A1" s="1" t="inlineStr">
        <is>
          <t>КАК ЗАПОЛНИТЬ АНКЕТУ</t>
        </is>
      </c>
    </row>
    <row r="2" ht="6" customHeight="1">
      <c r="A2" s="14" t="n"/>
      <c r="B2" s="14" t="n"/>
      <c r="C2" s="14" t="n"/>
      <c r="D2" s="15" t="n"/>
      <c r="E2" s="15" t="n"/>
      <c r="F2" s="15" t="n"/>
    </row>
    <row r="3" ht="27" customHeight="1">
      <c r="A3" s="24" t="inlineStr">
        <is>
          <t>01 · Сохраните копию</t>
        </is>
      </c>
    </row>
    <row r="4" ht="48" customHeight="1">
      <c r="A4" s="25" t="inlineStr">
        <is>
          <t>Скачайте этот файл и откройте в Excel или LibreOffice Calc. В просмотрщике чата заполнение может быть недоступно.</t>
        </is>
      </c>
    </row>
    <row r="6" ht="27" customHeight="1">
      <c r="A6" s="24" t="inlineStr">
        <is>
          <t>02 · Представьтесь</t>
        </is>
      </c>
    </row>
    <row r="7" ht="48" customHeight="1">
      <c r="A7" s="25" t="inlineStr">
        <is>
          <t>На листе «Выбор тем» укажите ФИО полностью. При желании добавьте дату. Заполняйте только светло-зелёные ячейки.</t>
        </is>
      </c>
    </row>
    <row r="9" ht="27" customHeight="1">
      <c r="A9" s="24" t="inlineStr">
        <is>
          <t>03 · Изучите темы</t>
        </is>
      </c>
    </row>
    <row r="10" ht="48" customHeight="1">
      <c r="A10" s="25" t="inlineStr">
        <is>
          <t>Нажмите «Открыть →» напротив темы. Содержание откроется внутри этого файла. Ссылка «← Отметить тему» вернёт к ответу.</t>
        </is>
      </c>
    </row>
    <row r="12" ht="27" customHeight="1">
      <c r="A12" s="24" t="inlineStr">
        <is>
          <t>04 · Сделайте выбор</t>
        </is>
      </c>
    </row>
    <row r="13" ht="48" customHeight="1">
      <c r="A13" s="25" t="inlineStr">
        <is>
          <t>«Да» — готовы читать всю тему. «Частично» — готовы читать часть: поясните, какую. Пустая ячейка означает «не указано», это не отказ.</t>
        </is>
      </c>
    </row>
    <row r="15" ht="27" customHeight="1">
      <c r="A15" s="24" t="inlineStr">
        <is>
          <t>05 · Сохраните результат</t>
        </is>
      </c>
    </row>
    <row r="16" ht="48" customHeight="1">
      <c r="A16" s="25" t="inlineStr">
        <is>
          <t>Можно вернуться позже. Когда закончите, выберите «Выбор завершён». Сохраните в формате .xlsx как «Анкета_Фамилия.xlsx».</t>
        </is>
      </c>
    </row>
    <row r="18" ht="27" customHeight="1">
      <c r="A18" s="24" t="inlineStr">
        <is>
          <t>06 · Отправьте лично</t>
        </is>
      </c>
    </row>
    <row r="19" ht="48" customHeight="1">
      <c r="A19" s="25" t="inlineStr">
        <is>
          <t>Передайте заполненный файл организатору лично. В общий чат предназначен только пустой шаблон. В файле нет ответов других преподавателей.</t>
        </is>
      </c>
    </row>
    <row r="21" ht="27" customHeight="1">
      <c r="A21" s="24" t="inlineStr">
        <is>
          <t>О пробной версии</t>
        </is>
      </c>
    </row>
    <row r="22" ht="48" customHeight="1">
      <c r="A22" s="25" t="inlineStr">
        <is>
          <t>12 тем из одной локальной программы-образца ПТИБ (advance). Содержание перенесено из источника без смыслового пересказа. Папки Google Drive пока недоступны.</t>
        </is>
      </c>
    </row>
    <row r="24" ht="27" customHeight="1">
      <c r="A24" s="24" t="inlineStr">
        <is>
          <t>Для организатора</t>
        </is>
      </c>
    </row>
    <row r="25" ht="48" customHeight="1">
      <c r="A25" s="25" t="inlineStr">
        <is>
          <t>Сводный реестр — отдельный файл. Здесь нет макросов, внешних подключений и сведений из прежней таблицы «Тема-Лектор_1».</t>
        </is>
      </c>
    </row>
    <row r="28">
      <c r="A28" s="13" t="inlineStr">
        <is>
          <t>← К выбору тем</t>
        </is>
      </c>
    </row>
  </sheetData>
  <mergeCells count="17">
    <mergeCell ref="A24:F24"/>
    <mergeCell ref="A16:F16"/>
    <mergeCell ref="A10:F10"/>
    <mergeCell ref="A13:F13"/>
    <mergeCell ref="A19:F19"/>
    <mergeCell ref="A9:F9"/>
    <mergeCell ref="A6:F6"/>
    <mergeCell ref="A1:E1"/>
    <mergeCell ref="A22:F22"/>
    <mergeCell ref="A12:F12"/>
    <mergeCell ref="A4:F4"/>
    <mergeCell ref="A18:F18"/>
    <mergeCell ref="A3:F3"/>
    <mergeCell ref="A21:F21"/>
    <mergeCell ref="A15:F15"/>
    <mergeCell ref="A7:F7"/>
    <mergeCell ref="A25:F25"/>
  </mergeCells>
  <hyperlinks>
    <hyperlink ref="A28" location="'Выбор тем'!A1" display="← К выбору тем"/>
  </hyperlinks>
  <pageMargins left="0.25" right="0.25" top="0.35" bottom="0.35" header="0.5" footer="0.5"/>
  <pageSetup orientation="landscape" paperSize="8" fitToHeight="0" fitToWidth="1"/>
  <headerFooter>
    <oddHeader/>
    <oddFooter>&amp;Crozum · Пробная версия · &amp;P /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Каталог тем</dc:creator>
  <dc:title xmlns:dc="http://purl.org/dc/elements/1.1/">Пробная анкета выбора тем преподавателем</dc:title>
  <dc:description xmlns:dc="http://purl.org/dc/elements/1.1/">Офлайн-анкета. Пробная версия. Исходные содержания — из локальной программы-образца.</dc:description>
  <dcterms:created xmlns:dcterms="http://purl.org/dc/terms/" xmlns:xsi="http://www.w3.org/2001/XMLSchema-instance" xsi:type="dcterms:W3CDTF">2026-10-15T13:55:47Z</dcterms:created>
  <dcterms:modified xmlns:dcterms="http://purl.org/dc/terms/" xmlns:xsi="http://www.w3.org/2001/XMLSchema-instance" xsi:type="dcterms:W3CDTF">2026-10-15T13:55:47Z</dcterms:modified>
</cp:coreProperties>
</file>